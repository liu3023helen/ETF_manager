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tabRatio="873" firstSheet="1" activeTab="4"/>
  </bookViews>
  <sheets>
    <sheet name="fund_info(基金基本信息表)" sheetId="1" r:id="rId1"/>
    <sheet name="fund_holdings(持仓管理表)" sheetId="2" r:id="rId2"/>
    <sheet name="trading_rules(交易规则配置表)" sheetId="3" r:id="rId3"/>
    <sheet name="daily_quotes(每日净值表)" sheetId="4" r:id="rId4"/>
    <sheet name="trade_records(交易记录表)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<sst xmlns="http://schemas.openxmlformats.org/spreadsheetml/2006/main" count="797" uniqueCount="285">
  <si>
    <t>fund_code
基金代码</t>
  </si>
  <si>
    <t>fund_name
基金名称</t>
  </si>
  <si>
    <t>fund_company
基金公司</t>
  </si>
  <si>
    <t>fund_type
基金类型</t>
  </si>
  <si>
    <t>tracking_index
跟踪指数</t>
  </si>
  <si>
    <t>risk_level
风险等级</t>
  </si>
  <si>
    <t>fund_category
基金分类</t>
  </si>
  <si>
    <t>return_1y
近1年收益率</t>
  </si>
  <si>
    <t>return_3y
近3年收益率</t>
  </si>
  <si>
    <t>return_since_inception
成立以来收益率</t>
  </si>
  <si>
    <t>created_at
创建时间</t>
  </si>
  <si>
    <t>updated_at
更新时间</t>
  </si>
  <si>
    <t>top_holdings
前十大持仓</t>
  </si>
  <si>
    <t>risk_points
风险提示要点</t>
  </si>
  <si>
    <t>广发天天红货币B</t>
  </si>
  <si>
    <t>广发基金管理有限公司</t>
  </si>
  <si>
    <t>货币型</t>
  </si>
  <si>
    <t/>
  </si>
  <si>
    <t>低风险</t>
  </si>
  <si>
    <t>货币基金</t>
  </si>
  <si>
    <t>1.43%</t>
  </si>
  <si>
    <t>5.52%</t>
  </si>
  <si>
    <t>29.77%</t>
  </si>
  <si>
    <t>2026-03-05 21:14:27</t>
  </si>
  <si>
    <t>22国开14(1.26%)、24建设银行CD104(1.02%)、23国开14(0.67%)、24民生银行CD230(0.66%)、24民生银行CD306(0.58%)</t>
  </si>
  <si>
    <t>低风险，流动性强</t>
  </si>
  <si>
    <t>广发中证军工ETF联接C</t>
  </si>
  <si>
    <t>广发基金</t>
  </si>
  <si>
    <t>联接基金</t>
  </si>
  <si>
    <t>中证军工指数</t>
  </si>
  <si>
    <t>中高风险</t>
  </si>
  <si>
    <t>军工</t>
  </si>
  <si>
    <t>+40.63%</t>
  </si>
  <si>
    <t>+29.38%</t>
  </si>
  <si>
    <t>+99.75%</t>
  </si>
  <si>
    <t>2026-03-05 20:38:14</t>
  </si>
  <si>
    <t>主要投资于广发中证军工ETF,重仓股包括中国船舶、光启技术、航天电子等军工股</t>
  </si>
  <si>
    <t>军工板块政策依赖,地缘政治敏感,订单波动风险</t>
  </si>
  <si>
    <t>华夏黄金ETF联接C</t>
  </si>
  <si>
    <t>华夏基金</t>
  </si>
  <si>
    <t>黄金9999</t>
  </si>
  <si>
    <t>黄金</t>
  </si>
  <si>
    <t>+75.04%</t>
  </si>
  <si>
    <t>+122.66%</t>
  </si>
  <si>
    <t>+159.31%</t>
  </si>
  <si>
    <t>2026-03-05 20:45:43</t>
  </si>
  <si>
    <t>主要投资于目标ETF(华夏黄金ETF),间接跟踪黄金9999价格</t>
  </si>
  <si>
    <t>国际金价波动风险,汇率风险</t>
  </si>
  <si>
    <t>建信上海金ETF联接C</t>
  </si>
  <si>
    <t>建信基金</t>
  </si>
  <si>
    <t>上海金(SHAU)</t>
  </si>
  <si>
    <t>+74.38%</t>
  </si>
  <si>
    <t>+172.87%</t>
  </si>
  <si>
    <t>+173.03%</t>
  </si>
  <si>
    <t>主要投资于目标ETF(建信上海金ETF),间接跟踪上海金价格</t>
  </si>
  <si>
    <t>富国上海金ETF联接C</t>
  </si>
  <si>
    <t>富国基金</t>
  </si>
  <si>
    <t>+67.15%</t>
  </si>
  <si>
    <t>+156.27%</t>
  </si>
  <si>
    <t>+140.66%</t>
  </si>
  <si>
    <t>主要投资于目标ETF(富国上海金ETF),间接跟踪上海金价格</t>
  </si>
  <si>
    <t>天弘上海金ETF联接C</t>
  </si>
  <si>
    <t>天弘基金</t>
  </si>
  <si>
    <t>+65.35%</t>
  </si>
  <si>
    <t>+148.75%</t>
  </si>
  <si>
    <t>+155.87%</t>
  </si>
  <si>
    <t>主要投资于目标ETF(天弘上海金ETF),间接跟踪上海金价格</t>
  </si>
  <si>
    <t>天弘中证机器人ETF联接C</t>
  </si>
  <si>
    <t>中证机器人指数</t>
  </si>
  <si>
    <t>机器人</t>
  </si>
  <si>
    <t>+11.39%</t>
  </si>
  <si>
    <t>-</t>
  </si>
  <si>
    <t>+24.90%</t>
  </si>
  <si>
    <t>主要投资于天弘中证机器人ETF,重仓股包括科大讯飞9.76%,汇川技术9.71%,拓普集团7.91%等</t>
  </si>
  <si>
    <t>机器人产业波动大,技术迭代风险,联接基金双重收费</t>
  </si>
  <si>
    <t>嘉实上证科创板芯片ETF联接C</t>
  </si>
  <si>
    <t>嘉实基金</t>
  </si>
  <si>
    <t>上证科创板芯片指数</t>
  </si>
  <si>
    <t>芯片</t>
  </si>
  <si>
    <t>+107.37%</t>
  </si>
  <si>
    <t>+106.87%</t>
  </si>
  <si>
    <t>主要投资于科创芯片ETF,重仓股包括中芯国际10.36%,海光信息10.05%,寒武纪9.45%,澜起科技7.73%等</t>
  </si>
  <si>
    <t>科创板估值高,芯片技术封锁风险,波动剧烈</t>
  </si>
  <si>
    <t>华夏中证机器人ETF联接C</t>
  </si>
  <si>
    <t>+5.13%</t>
  </si>
  <si>
    <t>+29.84%</t>
  </si>
  <si>
    <t>主要投资于华夏中证机器人ETF,重仓股包括科大讯飞、汇川技术等</t>
  </si>
  <si>
    <t>工银瑞信黄金ETF联接E</t>
  </si>
  <si>
    <t>工银瑞信基金</t>
  </si>
  <si>
    <t>+67.85%</t>
  </si>
  <si>
    <t>+129.85%</t>
  </si>
  <si>
    <t>主要投资于目标ETF(工银黄金ETF),间接跟踪黄金9999价格</t>
  </si>
  <si>
    <t>国际金价波动风险,汇率风险,成立时间短</t>
  </si>
  <si>
    <t>招商中证机器人ETF联接C</t>
  </si>
  <si>
    <t>招商基金</t>
  </si>
  <si>
    <t>+7.45%</t>
  </si>
  <si>
    <t>+62.35%</t>
  </si>
  <si>
    <t>主要投资于招商中证机器人ETF,重仓股包括科大讯飞9.76%,汇川技术9.71%,拓普集团7.91%等</t>
  </si>
  <si>
    <t>机器人产业波动大,技术迭代风险,联接基金双重收费,成立时间短</t>
  </si>
  <si>
    <t>华夏国证航天航空行业ETF</t>
  </si>
  <si>
    <t>ETF</t>
  </si>
  <si>
    <t>国证航天指数</t>
  </si>
  <si>
    <t>航空航天</t>
  </si>
  <si>
    <t>+47.66%</t>
  </si>
  <si>
    <t>光启技术9.12%,中国卫星6.71%,航天电子6.47%,航发动力6.51%,中航沈飞5.93%,航天发展5.00%,中航西飞3.89%,中航机载3.61%,上海瀚讯2.65%,中航成飞2.60%</t>
  </si>
  <si>
    <t>军工板块政策依赖,地缘政治敏感</t>
  </si>
  <si>
    <t>天弘国证航天航空行业ETF</t>
  </si>
  <si>
    <t>+60%</t>
  </si>
  <si>
    <t>光启技术9.20%,中国卫星6.78%,航天电子6.51%,航发动力6.51%,中航沈飞5.93%,航天发展5.00%,中航西飞3.89%,中航机载3.61%,上海瀚讯2.65%,中航成飞2.60%</t>
  </si>
  <si>
    <t>易方达国证机器人产业ETF</t>
  </si>
  <si>
    <t>易方达基金</t>
  </si>
  <si>
    <t>国证机器人产业指数</t>
  </si>
  <si>
    <t>+23.11%</t>
  </si>
  <si>
    <t>+60.15%</t>
  </si>
  <si>
    <t>绿的谐波5.59%,双环传动5.30%,机器人4.70%,石头科技4.53%,科沃斯3.69%,三花智控3.28%,拓普集团3.15%,鸣志电器3.13%,领益智造2.88%,科大讯飞2.86%</t>
  </si>
  <si>
    <t>机器人产业波动大,技术迭代风险,集中度高</t>
  </si>
  <si>
    <t>天弘中证机器人ETF</t>
  </si>
  <si>
    <t>+21.36%</t>
  </si>
  <si>
    <t>+11.94%</t>
  </si>
  <si>
    <t>科大讯飞9.75%,汇川技术9.73%,拓普集团7.93%,大华股份4.41%,大族激光4.01%,双环传动3.81%,石头科技3.73%,中控技术3.69%,绿的谐波2.92%,机器人2.69%</t>
  </si>
  <si>
    <t>机器人产业波动大,技术迭代风险</t>
  </si>
  <si>
    <t>易方达中证科创创业50ETF</t>
  </si>
  <si>
    <t>科创创业50指数</t>
  </si>
  <si>
    <t>科创</t>
  </si>
  <si>
    <t>+54.94%</t>
  </si>
  <si>
    <t>-5.67%</t>
  </si>
  <si>
    <t>中际旭创10.73%,新易盛10.16%,宁德时代9.38%,寒武纪6.79%,阳光电源5.89%,中芯国际5.83%,海光信息4.95%,胜宏科技4.16%,汇川技术3.38%,澜起科技3.20%</t>
  </si>
  <si>
    <t>科创板估值高,波动剧烈,技术封锁风险</t>
  </si>
  <si>
    <t>富国中证港股通互联网ETF</t>
  </si>
  <si>
    <t>中证港股通互联网指数</t>
  </si>
  <si>
    <t>互联网</t>
  </si>
  <si>
    <t>-27.24%</t>
  </si>
  <si>
    <t>腾讯控股15.37%,阿里巴巴-W14.46%,小米集团-W13.99%,美团-W12.32%,商汤-W4.09%,快手-W3.78%,贝壳-W3.74%,京东健康3.72%,哔哩哔哩-W3.30%,金蝶国际-</t>
  </si>
  <si>
    <t>港股汇率风险,监管政策风险,流动性风险</t>
  </si>
  <si>
    <t>002183</t>
  </si>
  <si>
    <t>005693</t>
  </si>
  <si>
    <t>008702</t>
  </si>
  <si>
    <t>009034</t>
  </si>
  <si>
    <t>009505</t>
  </si>
  <si>
    <t>014662</t>
  </si>
  <si>
    <t>014881</t>
  </si>
  <si>
    <t>017470</t>
  </si>
  <si>
    <t>018345</t>
  </si>
  <si>
    <t>020341</t>
  </si>
  <si>
    <t>020482</t>
  </si>
  <si>
    <t>159227</t>
  </si>
  <si>
    <t>159241</t>
  </si>
  <si>
    <t>159530</t>
  </si>
  <si>
    <t>159770</t>
  </si>
  <si>
    <t>159781</t>
  </si>
  <si>
    <t>159792</t>
  </si>
  <si>
    <t>holding_id
持仓记录ID</t>
  </si>
  <si>
    <t>platform
持仓平台</t>
  </si>
  <si>
    <t>holding_shares
持有份额</t>
  </si>
  <si>
    <t>avg_buy_price
平均买入价/成本价(元)</t>
  </si>
  <si>
    <t>base_shares
底仓份额</t>
  </si>
  <si>
    <t>current_price
净值/当前价格(元)</t>
  </si>
  <si>
    <t>holding_value
市值/持仓总值(元)</t>
  </si>
  <si>
    <t>invested_capital
累计投入金额(元)</t>
  </si>
  <si>
    <t>profit_loss_amount
持仓盈亏金额(元)</t>
  </si>
  <si>
    <t>return_rate
持有收益率(%)</t>
  </si>
  <si>
    <t>dca_is_active
定投是否启用</t>
  </si>
  <si>
    <t>dca_frequency
定投频率</t>
  </si>
  <si>
    <t>dca_amount
每期金额(元)</t>
  </si>
  <si>
    <t>dca_type
定投类型</t>
  </si>
  <si>
    <t>dca_total_invested
定投累计金额(元)</t>
  </si>
  <si>
    <t>first_buy_date
首次买入日期</t>
  </si>
  <si>
    <t>last_update_date
最后更新日期</t>
  </si>
  <si>
    <t>支付宝</t>
  </si>
  <si>
    <t>每天定投100</t>
  </si>
  <si>
    <t>固定金额</t>
  </si>
  <si>
    <t>每周二定投200</t>
  </si>
  <si>
    <t>每周五定投200</t>
  </si>
  <si>
    <t>每周三定投200</t>
  </si>
  <si>
    <t>每周一定投200</t>
  </si>
  <si>
    <t>每周二智能定投100-400不等</t>
  </si>
  <si>
    <t>智能定投</t>
  </si>
  <si>
    <t>每周四定投200</t>
  </si>
  <si>
    <t>涨乐财富通</t>
  </si>
  <si>
    <t>国债理财</t>
  </si>
  <si>
    <t>3. “实时”与“历史”分离处理</t>
  </si>
  <si>
    <t>为了让系统既能“监控”又能“回溯”，建议采取**“双轨制”**：</t>
  </si>
  <si>
    <t>🚀 实时轨（用于监控/触发）</t>
  </si>
  <si>
    <r>
      <rPr>
        <sz val="9.75"/>
        <color rgb="FF4C4F69"/>
        <rFont val="Roboto"/>
        <charset val="134"/>
      </rPr>
      <t>载体</t>
    </r>
    <r>
      <rPr>
        <sz val="9.75"/>
        <color rgb="FF4C4F69"/>
        <rFont val="Roboto"/>
        <charset val="134"/>
      </rPr>
      <t>：</t>
    </r>
    <r>
      <rPr>
        <sz val="9.75"/>
        <color rgb="FF4C4F69"/>
        <rFont val="var(--vscode-editor-font-family"/>
        <charset val="134"/>
      </rPr>
      <t>fund_holdings</t>
    </r>
    <r>
      <rPr>
        <sz val="9.75"/>
        <color rgb="FF4C4F69"/>
        <rFont val="Roboto"/>
        <charset val="134"/>
      </rPr>
      <t> </t>
    </r>
    <r>
      <rPr>
        <sz val="9.75"/>
        <color rgb="FF4C4F69"/>
        <rFont val="Roboto"/>
        <charset val="134"/>
      </rPr>
      <t>表。</t>
    </r>
  </si>
  <si>
    <r>
      <rPr>
        <sz val="9.75"/>
        <color rgb="FF4C4F69"/>
        <rFont val="Roboto"/>
        <charset val="134"/>
      </rPr>
      <t>操作</t>
    </r>
    <r>
      <rPr>
        <sz val="9.75"/>
        <color rgb="FF4C4F69"/>
        <rFont val="Roboto"/>
        <charset val="134"/>
      </rPr>
      <t>：爬虫在交易时间内（如 9:30 - 15:00）每 5-15 分钟抓取一次</t>
    </r>
    <r>
      <rPr>
        <sz val="9.75"/>
        <color rgb="FF4C4F69"/>
        <rFont val="Roboto"/>
        <charset val="134"/>
      </rPr>
      <t>实时价格</t>
    </r>
    <r>
      <rPr>
        <sz val="9.75"/>
        <color rgb="FF4C4F69"/>
        <rFont val="Roboto"/>
        <charset val="134"/>
      </rPr>
      <t>，更新到</t>
    </r>
    <r>
      <rPr>
        <sz val="9.75"/>
        <color rgb="FF4C4F69"/>
        <rFont val="Roboto"/>
        <charset val="134"/>
      </rPr>
      <t> </t>
    </r>
    <r>
      <rPr>
        <sz val="9.75"/>
        <color rgb="FF4C4F69"/>
        <rFont val="var(--vscode-editor-font-family"/>
        <charset val="134"/>
      </rPr>
      <t>fund_holdings.current_price</t>
    </r>
    <r>
      <rPr>
        <sz val="9.75"/>
        <color rgb="FF4C4F69"/>
        <rFont val="Roboto"/>
        <charset val="134"/>
      </rPr>
      <t>。</t>
    </r>
  </si>
  <si>
    <r>
      <rPr>
        <sz val="9.75"/>
        <color rgb="FF4C4F69"/>
        <rFont val="Roboto"/>
        <charset val="134"/>
      </rPr>
      <t>逻辑</t>
    </r>
    <r>
      <rPr>
        <sz val="9.75"/>
        <color rgb="FF4C4F69"/>
        <rFont val="Roboto"/>
        <charset val="134"/>
      </rPr>
      <t>：一旦实时跌幅达到规则阈值，立刻生成</t>
    </r>
    <r>
      <rPr>
        <sz val="9.75"/>
        <color rgb="FF4C4F69"/>
        <rFont val="Roboto"/>
        <charset val="134"/>
      </rPr>
      <t> </t>
    </r>
    <r>
      <rPr>
        <sz val="9.75"/>
        <color rgb="FF4C4F69"/>
        <rFont val="var(--vscode-editor-font-family"/>
        <charset val="134"/>
      </rPr>
      <t>trade_signals</t>
    </r>
    <r>
      <rPr>
        <sz val="9.75"/>
        <color rgb="FF4C4F69"/>
        <rFont val="Roboto"/>
        <charset val="134"/>
      </rPr>
      <t> </t>
    </r>
    <r>
      <rPr>
        <sz val="9.75"/>
        <color rgb="FF4C4F69"/>
        <rFont val="Roboto"/>
        <charset val="134"/>
      </rPr>
      <t>提示你。</t>
    </r>
  </si>
  <si>
    <t>📜 历史轨（用于分析/规则计算）</t>
  </si>
  <si>
    <r>
      <rPr>
        <sz val="9.75"/>
        <color rgb="FF4C4F69"/>
        <rFont val="Roboto"/>
        <charset val="134"/>
      </rPr>
      <t>载体</t>
    </r>
    <r>
      <rPr>
        <sz val="9.75"/>
        <color rgb="FF4C4F69"/>
        <rFont val="Roboto"/>
        <charset val="134"/>
      </rPr>
      <t>：</t>
    </r>
    <r>
      <rPr>
        <sz val="9.75"/>
        <color rgb="FF4C4F69"/>
        <rFont val="var(--vscode-editor-font-family"/>
        <charset val="134"/>
      </rPr>
      <t>daily_quotes</t>
    </r>
    <r>
      <rPr>
        <sz val="9.75"/>
        <color rgb="FF4C4F69"/>
        <rFont val="Roboto"/>
        <charset val="134"/>
      </rPr>
      <t> </t>
    </r>
    <r>
      <rPr>
        <sz val="9.75"/>
        <color rgb="FF4C4F69"/>
        <rFont val="Roboto"/>
        <charset val="134"/>
      </rPr>
      <t>表。</t>
    </r>
  </si>
  <si>
    <r>
      <rPr>
        <sz val="9.75"/>
        <color rgb="FF4C4F69"/>
        <rFont val="Roboto"/>
        <charset val="134"/>
      </rPr>
      <t>操作</t>
    </r>
    <r>
      <rPr>
        <sz val="9.75"/>
        <color rgb="FF4C4F69"/>
        <rFont val="Roboto"/>
        <charset val="134"/>
      </rPr>
      <t>：每天收盘后（15:30 以后）抓取一次</t>
    </r>
    <r>
      <rPr>
        <sz val="9.75"/>
        <color rgb="FF4C4F69"/>
        <rFont val="Roboto"/>
        <charset val="134"/>
      </rPr>
      <t>最终数据</t>
    </r>
    <r>
      <rPr>
        <sz val="9.75"/>
        <color rgb="FF4C4F69"/>
        <rFont val="Roboto"/>
        <charset val="134"/>
      </rPr>
      <t>（含最高、最低、收盘）。</t>
    </r>
  </si>
  <si>
    <r>
      <rPr>
        <sz val="9.75"/>
        <color rgb="FF4C4F69"/>
        <rFont val="Roboto"/>
        <charset val="134"/>
      </rPr>
      <t>逻辑</t>
    </r>
    <r>
      <rPr>
        <sz val="9.75"/>
        <color rgb="FF4C4F69"/>
        <rFont val="Roboto"/>
        <charset val="134"/>
      </rPr>
      <t>：用于计算“单月涨幅”、“60日低点”等需要跨天计算的指标。</t>
    </r>
  </si>
  <si>
    <t>rule_id
规则ID</t>
  </si>
  <si>
    <t>rule_type
规则类型</t>
  </si>
  <si>
    <t>condition_desc
触发条件</t>
  </si>
  <si>
    <t>threshold
阈值</t>
  </si>
  <si>
    <t>action_desc
操作描述</t>
  </si>
  <si>
    <t>priority
优先级</t>
  </si>
  <si>
    <t>is_active
是否启用</t>
  </si>
  <si>
    <t>军工/芯片/航空航天</t>
  </si>
  <si>
    <t>止盈</t>
  </si>
  <si>
    <t>盈利≥30% 或 单月涨≥15%</t>
  </si>
  <si>
    <t>卖出一半（保留1/5底仓）</t>
  </si>
  <si>
    <t>2026-03-06 17:29:19</t>
  </si>
  <si>
    <t>盈利≥50%</t>
  </si>
  <si>
    <t>再卖剩余的一半（保留1/5底仓）</t>
  </si>
  <si>
    <t>接回</t>
  </si>
  <si>
    <t>从卖出价回落10%</t>
  </si>
  <si>
    <t>买回卖出量的1/3（间隔至少1周）</t>
  </si>
  <si>
    <t>从卖出价回落20%</t>
  </si>
  <si>
    <t>再买回卖出量的1/3</t>
  </si>
  <si>
    <t>从卖出价回落30%</t>
  </si>
  <si>
    <t>买回剩余</t>
  </si>
  <si>
    <t>加仓</t>
  </si>
  <si>
    <t>当日跌2%-3%</t>
  </si>
  <si>
    <t>+100元</t>
  </si>
  <si>
    <t>当日跌3%-5%</t>
  </si>
  <si>
    <t>+200元</t>
  </si>
  <si>
    <t>当日跌&gt;5%</t>
  </si>
  <si>
    <t>+300元</t>
  </si>
  <si>
    <t>盈利≥10%</t>
  </si>
  <si>
    <t>减仓1/3（保留1/5底仓）</t>
  </si>
  <si>
    <t>从卖出价回落5%-8%</t>
  </si>
  <si>
    <t>分4周定投买回</t>
  </si>
  <si>
    <t>当日跌1%-2%</t>
  </si>
  <si>
    <t>+50元</t>
  </si>
  <si>
    <t>当日跌&gt;3%</t>
  </si>
  <si>
    <t>+150元</t>
  </si>
  <si>
    <t>机器人/科技</t>
  </si>
  <si>
    <t>盈利15%-20%</t>
  </si>
  <si>
    <t>止盈1/2（保留1/5底仓）</t>
  </si>
  <si>
    <t>盈利≥30%</t>
  </si>
  <si>
    <t>止盈2/3（保留1/5底仓）</t>
  </si>
  <si>
    <t>从卖出价回落15%</t>
  </si>
  <si>
    <t>从卖出价回落25%</t>
  </si>
  <si>
    <t>从卖出价回落35%</t>
  </si>
  <si>
    <t>科创/互联网</t>
  </si>
  <si>
    <t>盈利10%-15%</t>
  </si>
  <si>
    <t>盈利≥25%</t>
  </si>
  <si>
    <t>买回卖出量的1/3（间隔至少2周）</t>
  </si>
  <si>
    <t>从卖出价回落40%</t>
  </si>
  <si>
    <t>全部</t>
  </si>
  <si>
    <t>纪律</t>
  </si>
  <si>
    <t>任何时候保留1/5仓位不卖</t>
  </si>
  <si>
    <t>底仓不动</t>
  </si>
  <si>
    <t>无论涨跌</t>
  </si>
  <si>
    <t>定投永不停止</t>
  </si>
  <si>
    <t>大涨当天</t>
  </si>
  <si>
    <t>不追涨</t>
  </si>
  <si>
    <t>卖出/接回</t>
  </si>
  <si>
    <t>分批操作</t>
  </si>
  <si>
    <t>主题：军工/芯片/航空航天</t>
  </si>
  <si>
    <r>
      <rPr>
        <sz val="9.75"/>
        <color rgb="FF4C4F69"/>
        <rFont val="Roboto"/>
        <charset val="134"/>
      </rPr>
      <t>条 1：</t>
    </r>
    <r>
      <rPr>
        <sz val="9.75"/>
        <color rgb="FF4C4F69"/>
        <rFont val="var(--vscode-editor-font-family"/>
        <charset val="134"/>
      </rPr>
      <t>condition_desc</t>
    </r>
    <r>
      <rPr>
        <sz val="9.75"/>
        <color rgb="FF4C4F69"/>
        <rFont val="Roboto"/>
        <charset val="134"/>
      </rPr>
      <t> </t>
    </r>
    <r>
      <rPr>
        <sz val="9.75"/>
        <color rgb="FF4C4F69"/>
        <rFont val="Roboto"/>
        <charset val="134"/>
      </rPr>
      <t>= “从最近高点回撤≥10%”，</t>
    </r>
    <r>
      <rPr>
        <sz val="9.75"/>
        <color rgb="FF4C4F69"/>
        <rFont val="var(--vscode-editor-font-family"/>
        <charset val="134"/>
      </rPr>
      <t>threshold</t>
    </r>
    <r>
      <rPr>
        <sz val="9.75"/>
        <color rgb="FF4C4F69"/>
        <rFont val="Roboto"/>
        <charset val="134"/>
      </rPr>
      <t>=-0.10，</t>
    </r>
    <r>
      <rPr>
        <sz val="9.75"/>
        <color rgb="FF4C4F69"/>
        <rFont val="var(--vscode-editor-font-family"/>
        <charset val="134"/>
      </rPr>
      <t>action_desc</t>
    </r>
    <r>
      <rPr>
        <sz val="9.75"/>
        <color rgb="FF4C4F69"/>
        <rFont val="Roboto"/>
        <charset val="134"/>
      </rPr>
      <t>=“加仓2000元”</t>
    </r>
  </si>
  <si>
    <r>
      <rPr>
        <sz val="9.75"/>
        <color rgb="FF4C4F69"/>
        <rFont val="Roboto"/>
        <charset val="134"/>
      </rPr>
      <t>条 2：</t>
    </r>
    <r>
      <rPr>
        <sz val="9.75"/>
        <color rgb="FF4C4F69"/>
        <rFont val="var(--vscode-editor-font-family"/>
        <charset val="134"/>
      </rPr>
      <t>condition_desc</t>
    </r>
    <r>
      <rPr>
        <sz val="9.75"/>
        <color rgb="FF4C4F69"/>
        <rFont val="Roboto"/>
        <charset val="134"/>
      </rPr>
      <t> </t>
    </r>
    <r>
      <rPr>
        <sz val="9.75"/>
        <color rgb="FF4C4F69"/>
        <rFont val="Roboto"/>
        <charset val="134"/>
      </rPr>
      <t>= “从最近高点回撤≥20%”，</t>
    </r>
    <r>
      <rPr>
        <sz val="9.75"/>
        <color rgb="FF4C4F69"/>
        <rFont val="var(--vscode-editor-font-family"/>
        <charset val="134"/>
      </rPr>
      <t>threshold</t>
    </r>
    <r>
      <rPr>
        <sz val="9.75"/>
        <color rgb="FF4C4F69"/>
        <rFont val="Roboto"/>
        <charset val="134"/>
      </rPr>
      <t>=-0.20，</t>
    </r>
    <r>
      <rPr>
        <sz val="9.75"/>
        <color rgb="FF4C4F69"/>
        <rFont val="var(--vscode-editor-font-family"/>
        <charset val="134"/>
      </rPr>
      <t>action_desc</t>
    </r>
    <r>
      <rPr>
        <sz val="9.75"/>
        <color rgb="FF4C4F69"/>
        <rFont val="Roboto"/>
        <charset val="134"/>
      </rPr>
      <t>=“再加仓3000元”</t>
    </r>
  </si>
  <si>
    <r>
      <rPr>
        <sz val="9.75"/>
        <color rgb="FF4C4F69"/>
        <rFont val="Roboto"/>
        <charset val="134"/>
      </rPr>
      <t>条 3：</t>
    </r>
    <r>
      <rPr>
        <sz val="9.75"/>
        <color rgb="FF4C4F69"/>
        <rFont val="var(--vscode-editor-font-family"/>
        <charset val="134"/>
      </rPr>
      <t>condition_desc</t>
    </r>
    <r>
      <rPr>
        <sz val="9.75"/>
        <color rgb="FF4C4F69"/>
        <rFont val="Roboto"/>
        <charset val="134"/>
      </rPr>
      <t> </t>
    </r>
    <r>
      <rPr>
        <sz val="9.75"/>
        <color rgb="FF4C4F69"/>
        <rFont val="Roboto"/>
        <charset val="134"/>
      </rPr>
      <t>= “从最近高点回撤≥30%”，</t>
    </r>
    <r>
      <rPr>
        <sz val="9.75"/>
        <color rgb="FF4C4F69"/>
        <rFont val="var(--vscode-editor-font-family"/>
        <charset val="134"/>
      </rPr>
      <t>threshold</t>
    </r>
    <r>
      <rPr>
        <sz val="9.75"/>
        <color rgb="FF4C4F69"/>
        <rFont val="Roboto"/>
        <charset val="134"/>
      </rPr>
      <t>=-0.30，</t>
    </r>
    <r>
      <rPr>
        <sz val="9.75"/>
        <color rgb="FF4C4F69"/>
        <rFont val="var(--vscode-editor-font-family"/>
        <charset val="134"/>
      </rPr>
      <t>action_desc</t>
    </r>
    <r>
      <rPr>
        <sz val="9.75"/>
        <color rgb="FF4C4F69"/>
        <rFont val="Roboto"/>
        <charset val="134"/>
      </rPr>
      <t>=“再加仓3000元”</t>
    </r>
  </si>
  <si>
    <r>
      <rPr>
        <sz val="9.75"/>
        <color rgb="FF4C4F69"/>
        <rFont val="Roboto"/>
        <charset val="134"/>
      </rPr>
      <t>条 4：</t>
    </r>
    <r>
      <rPr>
        <sz val="9.75"/>
        <color rgb="FF4C4F69"/>
        <rFont val="var(--vscode-editor-font-family"/>
        <charset val="134"/>
      </rPr>
      <t>condition_desc</t>
    </r>
    <r>
      <rPr>
        <sz val="9.75"/>
        <color rgb="FF4C4F69"/>
        <rFont val="Roboto"/>
        <charset val="134"/>
      </rPr>
      <t> </t>
    </r>
    <r>
      <rPr>
        <sz val="9.75"/>
        <color rgb="FF4C4F69"/>
        <rFont val="Roboto"/>
        <charset val="134"/>
      </rPr>
      <t>= “从最近高点回撤≥40%”，</t>
    </r>
    <r>
      <rPr>
        <sz val="9.75"/>
        <color rgb="FF4C4F69"/>
        <rFont val="var(--vscode-editor-font-family"/>
        <charset val="134"/>
      </rPr>
      <t>threshold</t>
    </r>
    <r>
      <rPr>
        <sz val="9.75"/>
        <color rgb="FF4C4F69"/>
        <rFont val="Roboto"/>
        <charset val="134"/>
      </rPr>
      <t>=-0.40，</t>
    </r>
    <r>
      <rPr>
        <sz val="9.75"/>
        <color rgb="FF4C4F69"/>
        <rFont val="var(--vscode-editor-font-family"/>
        <charset val="134"/>
      </rPr>
      <t>action_desc</t>
    </r>
    <r>
      <rPr>
        <sz val="9.75"/>
        <color rgb="FF4C4F69"/>
        <rFont val="Roboto"/>
        <charset val="134"/>
      </rPr>
      <t>=“最后再加仓2000元，之后不再加仓，只持有”</t>
    </r>
  </si>
  <si>
    <r>
      <rPr>
        <sz val="9.75"/>
        <color rgb="FF4C4F69"/>
        <rFont val="Roboto"/>
        <charset val="134"/>
      </rPr>
      <t>你的系统在生成信号时，只要再加一个条件：</t>
    </r>
    <r>
      <rPr>
        <sz val="9.75"/>
        <color rgb="FF4C4F69"/>
        <rFont val="Roboto"/>
        <charset val="134"/>
      </rPr>
      <t>累计已加的“加仓子弹金额”不能超过 1 万</t>
    </r>
    <r>
      <rPr>
        <sz val="9.75"/>
        <color rgb="FF4C4F69"/>
        <rFont val="Roboto"/>
        <charset val="134"/>
      </rPr>
      <t>，就能避免过度打满。</t>
    </r>
  </si>
  <si>
    <t>quote_id
记录ID</t>
  </si>
  <si>
    <t>quote_date
净值日期</t>
  </si>
  <si>
    <t>open_price
当日开盘净值(元)</t>
  </si>
  <si>
    <t>high_price
当日最高净值(元)</t>
  </si>
  <si>
    <t>low_price
当日最低净值(元)</t>
  </si>
  <si>
    <t>close_price
当日收盘净值(元)</t>
  </si>
  <si>
    <t>acc_nav
累计净值(元)</t>
  </si>
  <si>
    <t>机器人ETF易方达</t>
  </si>
  <si>
    <t>2026-03-06 17:29:31</t>
  </si>
  <si>
    <t>机器人ETF</t>
  </si>
  <si>
    <t>科创创业ETF易方达</t>
  </si>
  <si>
    <t>航空航天ETF天弘</t>
  </si>
  <si>
    <t>航空航天ETF</t>
  </si>
  <si>
    <t>港股通互联网ETF</t>
  </si>
  <si>
    <t>每天收盘后（15:30 以后）抓取一次最终数据（含最高、最低、收盘）。</t>
  </si>
  <si>
    <t>record_id
记录ID</t>
  </si>
  <si>
    <t>record_type
记录类型</t>
  </si>
  <si>
    <t>record_date
记录日期</t>
  </si>
  <si>
    <t>signal_type
信号类型</t>
  </si>
  <si>
    <t>trigger_condition
触发条件</t>
  </si>
  <si>
    <t>trigger_value
触发数值</t>
  </si>
  <si>
    <t>suggested_action
建议操作</t>
  </si>
  <si>
    <t>exec_status
执行状态</t>
  </si>
  <si>
    <t>exec_date
执行日期</t>
  </si>
  <si>
    <t>actual_action
实际操作</t>
  </si>
  <si>
    <t>amount
交易金额</t>
  </si>
  <si>
    <t>shares
交易份额</t>
  </si>
  <si>
    <t>nav
成交净值</t>
  </si>
  <si>
    <t>fee
手续费</t>
  </si>
  <si>
    <t>note
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</si>
</sst>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  <numFmt numFmtId="177" formatCode="_ * #,##0.0000_ ;_ * \-#,##0.0000_ ;_ * &quot;-&quot;??.00_ ;_ @_ "/>
    <numFmt numFmtId="178" formatCode="_ * #,##0.0000_ ;_ * \-#,##0.0000_ ;_ * &quot;-&quot;??.0000_ ;_ @_ "/>
    <numFmt numFmtId="179" formatCode="yyyy\/m\/d\ h:mm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.75"/>
      <color rgb="FF4C4F69"/>
      <name val="Roboto"/>
      <charset val="134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.75"/>
      <color rgb="FF4C4F69"/>
      <name val="var(--vscode-editor-font-family"/>
      <charset val="134"/>
    </font>
  </fonts>
  <fills count="36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FFC000"/>
        <bgColor rgb="FFB8CCE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6" borderId="6">
      <alignment vertical="center"/>
    </xf>
    <xf numFmtId="0" fontId="13" fillId="7" borderId="7">
      <alignment vertical="center"/>
    </xf>
    <xf numFmtId="0" fontId="14" fillId="7" borderId="6">
      <alignment vertical="center"/>
    </xf>
    <xf numFmtId="0" fontId="15" fillId="8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1" fillId="35" borderId="0">
      <alignment vertical="center"/>
    </xf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14" fontId="0" fillId="0" borderId="1" xfId="0" applyNumberFormat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 indent="2"/>
    </xf>
    <xf numFmtId="0" fontId="2" fillId="0" borderId="0" xfId="0" applyFon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43" fontId="0" fillId="0" borderId="0" xfId="0" applyNumberFormat="1"/>
    <xf numFmtId="176" fontId="1" fillId="3" borderId="1" xfId="0" applyNumberFormat="1" applyFont="1" applyFill="1" applyBorder="1" applyAlignment="1">
      <alignment horizontal="center" vertical="center" wrapText="1"/>
    </xf>
    <xf numFmtId="177" fontId="1" fillId="3" borderId="1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178" fontId="3" fillId="2" borderId="1" xfId="0" applyNumberFormat="1" applyFont="1" applyFill="1" applyBorder="1" applyAlignment="1">
      <alignment horizontal="center" vertical="center" wrapText="1"/>
    </xf>
    <xf numFmtId="43" fontId="3" fillId="2" borderId="1" xfId="0" applyNumberFormat="1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/>
    </xf>
    <xf numFmtId="179" fontId="0" fillId="0" borderId="1" xfId="0" applyNumberFormat="1" applyBorder="1" applyAlignment="1">
      <alignment vertical="center"/>
    </xf>
    <xf numFmtId="176" fontId="0" fillId="0" borderId="1" xfId="0" applyNumberFormat="1" applyBorder="1" applyAlignment="1">
      <alignment vertical="center"/>
    </xf>
    <xf numFmtId="177" fontId="0" fillId="0" borderId="1" xfId="0" applyNumberFormat="1" applyBorder="1" applyAlignment="1">
      <alignment vertical="center"/>
    </xf>
    <xf numFmtId="178" fontId="0" fillId="0" borderId="1" xfId="0" applyNumberFormat="1" applyBorder="1" applyAlignment="1">
      <alignment vertical="center"/>
    </xf>
    <xf numFmtId="43" fontId="0" fillId="0" borderId="1" xfId="0" applyNumberFormat="1" applyBorder="1" applyAlignment="1">
      <alignment vertical="center"/>
    </xf>
    <xf numFmtId="10" fontId="0" fillId="0" borderId="0" xfId="3" applyNumberFormat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/>
    <xf numFmtId="0" fontId="0" fillId="0" borderId="0" xfId="0" applyAlignment="1"/>
    <xf numFmtId="9" fontId="0" fillId="0" borderId="0" xfId="3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4" borderId="1" xfId="0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"/>
  <sheetViews>
    <sheetView workbookViewId="0">
      <selection activeCell="E29" sqref="E29"/>
    </sheetView>
  </sheetViews>
  <sheetFormatPr defaultColWidth="9" defaultRowHeight="14"/>
  <cols>
    <col min="1" max="1" width="10.4545454545455" customWidth="1"/>
    <col min="2" max="2" width="29.8181818181818" customWidth="1"/>
    <col min="3" max="3" width="23" customWidth="1"/>
    <col min="4" max="4" width="10.4545454545455" customWidth="1"/>
    <col min="5" max="5" width="23" customWidth="1"/>
    <col min="6" max="6" width="11.5454545454545" customWidth="1"/>
    <col min="7" max="7" width="14.8181818181818" customWidth="1"/>
    <col min="8" max="9" width="12.1818181818182" customWidth="1"/>
    <col min="10" max="10" width="25.0909090909091" customWidth="1"/>
    <col min="11" max="11" width="21.9090909090909" customWidth="1"/>
    <col min="12" max="12" width="30" customWidth="1"/>
    <col min="13" max="13" width="156.909090909091" customWidth="1"/>
    <col min="14" max="14" width="64.6363636363636" customWidth="1"/>
  </cols>
  <sheetData>
    <row r="1" ht="28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tr">
        <f t="shared" ref="A2:A18" si="0">VLOOKUP(B2,$B$24:$C$40,2,0)</f>
        <v>002183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17</v>
      </c>
      <c r="M2" s="2" t="s">
        <v>24</v>
      </c>
      <c r="N2" s="2" t="s">
        <v>25</v>
      </c>
    </row>
    <row r="3" spans="1:14">
      <c r="A3" s="2" t="str">
        <f t="shared" si="0"/>
        <v>005693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3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17</v>
      </c>
      <c r="M3" s="2" t="s">
        <v>36</v>
      </c>
      <c r="N3" s="2" t="s">
        <v>37</v>
      </c>
    </row>
    <row r="4" spans="1:14">
      <c r="A4" s="2" t="str">
        <f t="shared" si="0"/>
        <v>008702</v>
      </c>
      <c r="B4" s="2" t="s">
        <v>38</v>
      </c>
      <c r="C4" s="2" t="s">
        <v>39</v>
      </c>
      <c r="D4" s="2" t="s">
        <v>28</v>
      </c>
      <c r="E4" s="2" t="s">
        <v>40</v>
      </c>
      <c r="F4" s="2" t="s">
        <v>30</v>
      </c>
      <c r="G4" s="32" t="s">
        <v>41</v>
      </c>
      <c r="H4" s="2" t="s">
        <v>42</v>
      </c>
      <c r="I4" s="2" t="s">
        <v>43</v>
      </c>
      <c r="J4" s="2" t="s">
        <v>44</v>
      </c>
      <c r="K4" s="2" t="s">
        <v>35</v>
      </c>
      <c r="L4" s="2" t="s">
        <v>45</v>
      </c>
      <c r="M4" s="2" t="s">
        <v>46</v>
      </c>
      <c r="N4" s="2" t="s">
        <v>47</v>
      </c>
    </row>
    <row r="5" spans="1:14">
      <c r="A5" s="2" t="str">
        <f t="shared" si="0"/>
        <v>009034</v>
      </c>
      <c r="B5" s="2" t="s">
        <v>48</v>
      </c>
      <c r="C5" s="2" t="s">
        <v>49</v>
      </c>
      <c r="D5" s="2" t="s">
        <v>28</v>
      </c>
      <c r="E5" s="2" t="s">
        <v>50</v>
      </c>
      <c r="F5" s="2" t="s">
        <v>30</v>
      </c>
      <c r="G5" s="32" t="s">
        <v>41</v>
      </c>
      <c r="H5" s="2" t="s">
        <v>51</v>
      </c>
      <c r="I5" s="2" t="s">
        <v>52</v>
      </c>
      <c r="J5" s="2" t="s">
        <v>53</v>
      </c>
      <c r="K5" s="2" t="s">
        <v>35</v>
      </c>
      <c r="L5" s="2" t="s">
        <v>17</v>
      </c>
      <c r="M5" s="2" t="s">
        <v>54</v>
      </c>
      <c r="N5" s="2" t="s">
        <v>47</v>
      </c>
    </row>
    <row r="6" spans="1:14">
      <c r="A6" s="2" t="str">
        <f t="shared" si="0"/>
        <v>009505</v>
      </c>
      <c r="B6" s="2" t="s">
        <v>55</v>
      </c>
      <c r="C6" s="2" t="s">
        <v>56</v>
      </c>
      <c r="D6" s="2" t="s">
        <v>28</v>
      </c>
      <c r="E6" s="2" t="s">
        <v>50</v>
      </c>
      <c r="F6" s="2" t="s">
        <v>30</v>
      </c>
      <c r="G6" s="32" t="s">
        <v>41</v>
      </c>
      <c r="H6" s="2" t="s">
        <v>57</v>
      </c>
      <c r="I6" s="2" t="s">
        <v>58</v>
      </c>
      <c r="J6" s="2" t="s">
        <v>59</v>
      </c>
      <c r="K6" s="2" t="s">
        <v>35</v>
      </c>
      <c r="L6" s="2" t="s">
        <v>17</v>
      </c>
      <c r="M6" s="2" t="s">
        <v>60</v>
      </c>
      <c r="N6" s="2" t="s">
        <v>47</v>
      </c>
    </row>
    <row r="7" spans="1:14">
      <c r="A7" s="2" t="str">
        <f t="shared" si="0"/>
        <v>014662</v>
      </c>
      <c r="B7" s="2" t="s">
        <v>61</v>
      </c>
      <c r="C7" s="2" t="s">
        <v>62</v>
      </c>
      <c r="D7" s="2" t="s">
        <v>28</v>
      </c>
      <c r="E7" s="2" t="s">
        <v>50</v>
      </c>
      <c r="F7" s="2" t="s">
        <v>30</v>
      </c>
      <c r="G7" s="32" t="s">
        <v>41</v>
      </c>
      <c r="H7" s="2" t="s">
        <v>63</v>
      </c>
      <c r="I7" s="2" t="s">
        <v>64</v>
      </c>
      <c r="J7" s="2" t="s">
        <v>65</v>
      </c>
      <c r="K7" s="2" t="s">
        <v>35</v>
      </c>
      <c r="L7" s="2" t="s">
        <v>45</v>
      </c>
      <c r="M7" s="2" t="s">
        <v>66</v>
      </c>
      <c r="N7" s="2" t="s">
        <v>47</v>
      </c>
    </row>
    <row r="8" spans="1:14">
      <c r="A8" s="2" t="str">
        <f t="shared" si="0"/>
        <v>014881</v>
      </c>
      <c r="B8" s="2" t="s">
        <v>67</v>
      </c>
      <c r="C8" s="2" t="s">
        <v>62</v>
      </c>
      <c r="D8" s="2" t="s">
        <v>28</v>
      </c>
      <c r="E8" s="2" t="s">
        <v>68</v>
      </c>
      <c r="F8" s="2" t="s">
        <v>30</v>
      </c>
      <c r="G8" s="32" t="s">
        <v>69</v>
      </c>
      <c r="H8" s="2" t="s">
        <v>70</v>
      </c>
      <c r="I8" s="2" t="s">
        <v>71</v>
      </c>
      <c r="J8" s="2" t="s">
        <v>72</v>
      </c>
      <c r="K8" s="2" t="s">
        <v>35</v>
      </c>
      <c r="L8" s="2" t="s">
        <v>45</v>
      </c>
      <c r="M8" s="2" t="s">
        <v>73</v>
      </c>
      <c r="N8" s="2" t="s">
        <v>74</v>
      </c>
    </row>
    <row r="9" spans="1:14">
      <c r="A9" s="2" t="str">
        <f t="shared" si="0"/>
        <v>017470</v>
      </c>
      <c r="B9" s="2" t="s">
        <v>75</v>
      </c>
      <c r="C9" s="2" t="s">
        <v>76</v>
      </c>
      <c r="D9" s="2" t="s">
        <v>28</v>
      </c>
      <c r="E9" s="2" t="s">
        <v>77</v>
      </c>
      <c r="F9" s="2" t="s">
        <v>30</v>
      </c>
      <c r="G9" s="32" t="s">
        <v>78</v>
      </c>
      <c r="H9" s="2" t="s">
        <v>79</v>
      </c>
      <c r="I9" s="2" t="s">
        <v>71</v>
      </c>
      <c r="J9" s="2" t="s">
        <v>80</v>
      </c>
      <c r="K9" s="2" t="s">
        <v>35</v>
      </c>
      <c r="L9" s="2" t="s">
        <v>45</v>
      </c>
      <c r="M9" s="2" t="s">
        <v>81</v>
      </c>
      <c r="N9" s="2" t="s">
        <v>82</v>
      </c>
    </row>
    <row r="10" spans="1:14">
      <c r="A10" s="2" t="str">
        <f t="shared" si="0"/>
        <v>018345</v>
      </c>
      <c r="B10" s="2" t="s">
        <v>83</v>
      </c>
      <c r="C10" s="2" t="s">
        <v>39</v>
      </c>
      <c r="D10" s="2" t="s">
        <v>28</v>
      </c>
      <c r="E10" s="2" t="s">
        <v>68</v>
      </c>
      <c r="F10" s="2" t="s">
        <v>30</v>
      </c>
      <c r="G10" s="32" t="s">
        <v>69</v>
      </c>
      <c r="H10" s="2" t="s">
        <v>84</v>
      </c>
      <c r="I10" s="2" t="s">
        <v>71</v>
      </c>
      <c r="J10" s="2" t="s">
        <v>85</v>
      </c>
      <c r="K10" s="2" t="s">
        <v>35</v>
      </c>
      <c r="L10" s="2" t="s">
        <v>45</v>
      </c>
      <c r="M10" s="2" t="s">
        <v>86</v>
      </c>
      <c r="N10" s="2" t="s">
        <v>74</v>
      </c>
    </row>
    <row r="11" spans="1:14">
      <c r="A11" s="2" t="str">
        <f t="shared" si="0"/>
        <v>020341</v>
      </c>
      <c r="B11" s="2" t="s">
        <v>87</v>
      </c>
      <c r="C11" s="2" t="s">
        <v>88</v>
      </c>
      <c r="D11" s="2" t="s">
        <v>28</v>
      </c>
      <c r="E11" s="2" t="s">
        <v>40</v>
      </c>
      <c r="F11" s="2" t="s">
        <v>30</v>
      </c>
      <c r="G11" s="32" t="s">
        <v>41</v>
      </c>
      <c r="H11" s="2" t="s">
        <v>89</v>
      </c>
      <c r="I11" s="2" t="s">
        <v>71</v>
      </c>
      <c r="J11" s="2" t="s">
        <v>90</v>
      </c>
      <c r="K11" s="2" t="s">
        <v>35</v>
      </c>
      <c r="L11" s="2" t="s">
        <v>17</v>
      </c>
      <c r="M11" s="2" t="s">
        <v>91</v>
      </c>
      <c r="N11" s="2" t="s">
        <v>92</v>
      </c>
    </row>
    <row r="12" spans="1:14">
      <c r="A12" s="2" t="str">
        <f t="shared" si="0"/>
        <v>020482</v>
      </c>
      <c r="B12" s="2" t="s">
        <v>93</v>
      </c>
      <c r="C12" s="2" t="s">
        <v>94</v>
      </c>
      <c r="D12" s="2" t="s">
        <v>28</v>
      </c>
      <c r="E12" s="2" t="s">
        <v>68</v>
      </c>
      <c r="F12" s="2" t="s">
        <v>30</v>
      </c>
      <c r="G12" s="32" t="s">
        <v>69</v>
      </c>
      <c r="H12" s="2" t="s">
        <v>95</v>
      </c>
      <c r="I12" s="2" t="s">
        <v>71</v>
      </c>
      <c r="J12" s="2" t="s">
        <v>96</v>
      </c>
      <c r="K12" s="2" t="s">
        <v>35</v>
      </c>
      <c r="L12" s="2" t="s">
        <v>17</v>
      </c>
      <c r="M12" s="2" t="s">
        <v>97</v>
      </c>
      <c r="N12" s="2" t="s">
        <v>98</v>
      </c>
    </row>
    <row r="13" spans="1:14">
      <c r="A13" s="2" t="str">
        <f t="shared" si="0"/>
        <v>159227</v>
      </c>
      <c r="B13" s="2" t="s">
        <v>99</v>
      </c>
      <c r="C13" s="2" t="s">
        <v>39</v>
      </c>
      <c r="D13" s="2" t="s">
        <v>100</v>
      </c>
      <c r="E13" s="2" t="s">
        <v>101</v>
      </c>
      <c r="F13" s="2" t="s">
        <v>30</v>
      </c>
      <c r="G13" s="32" t="s">
        <v>102</v>
      </c>
      <c r="H13" s="2" t="s">
        <v>71</v>
      </c>
      <c r="I13" s="2" t="s">
        <v>71</v>
      </c>
      <c r="J13" s="2" t="s">
        <v>103</v>
      </c>
      <c r="K13" s="2" t="s">
        <v>35</v>
      </c>
      <c r="L13" s="2" t="s">
        <v>17</v>
      </c>
      <c r="M13" s="2" t="s">
        <v>104</v>
      </c>
      <c r="N13" s="2" t="s">
        <v>105</v>
      </c>
    </row>
    <row r="14" spans="1:14">
      <c r="A14" s="2" t="str">
        <f t="shared" si="0"/>
        <v>159241</v>
      </c>
      <c r="B14" s="2" t="s">
        <v>106</v>
      </c>
      <c r="C14" s="2" t="s">
        <v>62</v>
      </c>
      <c r="D14" s="2" t="s">
        <v>100</v>
      </c>
      <c r="E14" s="2" t="s">
        <v>101</v>
      </c>
      <c r="F14" s="2" t="s">
        <v>30</v>
      </c>
      <c r="G14" s="32" t="s">
        <v>102</v>
      </c>
      <c r="H14" s="2" t="s">
        <v>71</v>
      </c>
      <c r="I14" s="2" t="s">
        <v>71</v>
      </c>
      <c r="J14" s="2" t="s">
        <v>107</v>
      </c>
      <c r="K14" s="2" t="s">
        <v>35</v>
      </c>
      <c r="L14" s="2" t="s">
        <v>45</v>
      </c>
      <c r="M14" s="2" t="s">
        <v>108</v>
      </c>
      <c r="N14" s="2" t="s">
        <v>105</v>
      </c>
    </row>
    <row r="15" spans="1:14">
      <c r="A15" s="2" t="str">
        <f t="shared" si="0"/>
        <v>159530</v>
      </c>
      <c r="B15" s="2" t="s">
        <v>109</v>
      </c>
      <c r="C15" s="2" t="s">
        <v>110</v>
      </c>
      <c r="D15" s="2" t="s">
        <v>100</v>
      </c>
      <c r="E15" s="2" t="s">
        <v>111</v>
      </c>
      <c r="F15" s="2" t="s">
        <v>30</v>
      </c>
      <c r="G15" s="32" t="s">
        <v>69</v>
      </c>
      <c r="H15" s="2" t="s">
        <v>112</v>
      </c>
      <c r="I15" s="2" t="s">
        <v>71</v>
      </c>
      <c r="J15" s="2" t="s">
        <v>113</v>
      </c>
      <c r="K15" s="2" t="s">
        <v>35</v>
      </c>
      <c r="L15" s="2" t="s">
        <v>45</v>
      </c>
      <c r="M15" s="2" t="s">
        <v>114</v>
      </c>
      <c r="N15" s="2" t="s">
        <v>115</v>
      </c>
    </row>
    <row r="16" spans="1:14">
      <c r="A16" s="2" t="str">
        <f t="shared" si="0"/>
        <v>159770</v>
      </c>
      <c r="B16" s="2" t="s">
        <v>116</v>
      </c>
      <c r="C16" s="2" t="s">
        <v>62</v>
      </c>
      <c r="D16" s="2" t="s">
        <v>100</v>
      </c>
      <c r="E16" s="2" t="s">
        <v>68</v>
      </c>
      <c r="F16" s="2" t="s">
        <v>30</v>
      </c>
      <c r="G16" s="32" t="s">
        <v>69</v>
      </c>
      <c r="H16" s="2" t="s">
        <v>117</v>
      </c>
      <c r="I16" s="2" t="s">
        <v>71</v>
      </c>
      <c r="J16" s="2" t="s">
        <v>118</v>
      </c>
      <c r="K16" s="2" t="s">
        <v>35</v>
      </c>
      <c r="L16" s="2" t="s">
        <v>45</v>
      </c>
      <c r="M16" s="2" t="s">
        <v>119</v>
      </c>
      <c r="N16" s="2" t="s">
        <v>120</v>
      </c>
    </row>
    <row r="17" spans="1:14">
      <c r="A17" s="2" t="str">
        <f t="shared" si="0"/>
        <v>159781</v>
      </c>
      <c r="B17" s="2" t="s">
        <v>121</v>
      </c>
      <c r="C17" s="2" t="s">
        <v>110</v>
      </c>
      <c r="D17" s="2" t="s">
        <v>100</v>
      </c>
      <c r="E17" s="2" t="s">
        <v>122</v>
      </c>
      <c r="F17" s="2" t="s">
        <v>30</v>
      </c>
      <c r="G17" s="32" t="s">
        <v>123</v>
      </c>
      <c r="H17" s="2" t="s">
        <v>124</v>
      </c>
      <c r="I17" s="2" t="s">
        <v>71</v>
      </c>
      <c r="J17" s="2" t="s">
        <v>125</v>
      </c>
      <c r="K17" s="2" t="s">
        <v>35</v>
      </c>
      <c r="L17" s="2" t="s">
        <v>45</v>
      </c>
      <c r="M17" s="2" t="s">
        <v>126</v>
      </c>
      <c r="N17" s="2" t="s">
        <v>127</v>
      </c>
    </row>
    <row r="18" spans="1:14">
      <c r="A18" s="2" t="str">
        <f t="shared" si="0"/>
        <v>159792</v>
      </c>
      <c r="B18" s="2" t="s">
        <v>128</v>
      </c>
      <c r="C18" s="2" t="s">
        <v>56</v>
      </c>
      <c r="D18" s="2" t="s">
        <v>100</v>
      </c>
      <c r="E18" s="2" t="s">
        <v>129</v>
      </c>
      <c r="F18" s="2" t="s">
        <v>30</v>
      </c>
      <c r="G18" s="32" t="s">
        <v>130</v>
      </c>
      <c r="H18" s="2" t="s">
        <v>71</v>
      </c>
      <c r="I18" s="2" t="s">
        <v>71</v>
      </c>
      <c r="J18" s="2" t="s">
        <v>131</v>
      </c>
      <c r="K18" s="2" t="s">
        <v>35</v>
      </c>
      <c r="L18" s="2" t="s">
        <v>17</v>
      </c>
      <c r="M18" s="2" t="s">
        <v>132</v>
      </c>
      <c r="N18" s="2" t="s">
        <v>133</v>
      </c>
    </row>
    <row r="23" ht="28" spans="1:14">
      <c r="B23" s="1" t="s">
        <v>1</v>
      </c>
      <c r="C23" s="1" t="s">
        <v>0</v>
      </c>
    </row>
    <row r="24" spans="1:14">
      <c r="B24" s="3" t="s">
        <v>14</v>
      </c>
      <c r="C24" s="3" t="s">
        <v>134</v>
      </c>
    </row>
    <row r="25" spans="1:14">
      <c r="B25" s="3" t="s">
        <v>26</v>
      </c>
      <c r="C25" s="3" t="s">
        <v>135</v>
      </c>
    </row>
    <row r="26" spans="1:14">
      <c r="B26" s="3" t="s">
        <v>38</v>
      </c>
      <c r="C26" s="3" t="s">
        <v>136</v>
      </c>
    </row>
    <row r="27" spans="1:14">
      <c r="B27" s="3" t="s">
        <v>48</v>
      </c>
      <c r="C27" s="3" t="s">
        <v>137</v>
      </c>
    </row>
    <row r="28" spans="1:14">
      <c r="B28" s="3" t="s">
        <v>55</v>
      </c>
      <c r="C28" s="3" t="s">
        <v>138</v>
      </c>
    </row>
    <row r="29" spans="1:14">
      <c r="B29" s="3" t="s">
        <v>61</v>
      </c>
      <c r="C29" s="3" t="s">
        <v>139</v>
      </c>
    </row>
    <row r="30" spans="1:14">
      <c r="B30" s="3" t="s">
        <v>67</v>
      </c>
      <c r="C30" s="3" t="s">
        <v>140</v>
      </c>
    </row>
    <row r="31" spans="1:14">
      <c r="B31" s="3" t="s">
        <v>75</v>
      </c>
      <c r="C31" s="3" t="s">
        <v>141</v>
      </c>
    </row>
    <row r="32" spans="1:14">
      <c r="B32" s="3" t="s">
        <v>83</v>
      </c>
      <c r="C32" s="3" t="s">
        <v>142</v>
      </c>
    </row>
    <row r="33" spans="2:3">
      <c r="B33" s="3" t="s">
        <v>87</v>
      </c>
      <c r="C33" s="3" t="s">
        <v>143</v>
      </c>
    </row>
    <row r="34" spans="2:3">
      <c r="B34" s="3" t="s">
        <v>93</v>
      </c>
      <c r="C34" s="3" t="s">
        <v>144</v>
      </c>
    </row>
    <row r="35" spans="2:3">
      <c r="B35" s="2" t="s">
        <v>99</v>
      </c>
      <c r="C35" s="3" t="s">
        <v>145</v>
      </c>
    </row>
    <row r="36" spans="2:3">
      <c r="B36" s="2" t="s">
        <v>106</v>
      </c>
      <c r="C36" s="3" t="s">
        <v>146</v>
      </c>
    </row>
    <row r="37" spans="2:3">
      <c r="B37" s="2" t="s">
        <v>109</v>
      </c>
      <c r="C37" s="3" t="s">
        <v>147</v>
      </c>
    </row>
    <row r="38" spans="2:3">
      <c r="B38" s="2" t="s">
        <v>116</v>
      </c>
      <c r="C38" s="3" t="s">
        <v>148</v>
      </c>
    </row>
    <row r="39" spans="2:3">
      <c r="B39" s="2" t="s">
        <v>121</v>
      </c>
      <c r="C39" s="3" t="s">
        <v>149</v>
      </c>
    </row>
    <row r="40" spans="2:3">
      <c r="B40" s="2" t="s">
        <v>128</v>
      </c>
      <c r="C40" s="3" t="s">
        <v>150</v>
      </c>
    </row>
  </sheetData>
  <sortState ref="A2:N18">
    <sortCondition ref="A1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5"/>
  <sheetViews>
    <sheetView zoomScale="85" zoomScaleNormal="85" workbookViewId="0">
      <selection activeCell="G32" sqref="G32"/>
    </sheetView>
  </sheetViews>
  <sheetFormatPr defaultColWidth="9" defaultRowHeight="14"/>
  <cols>
    <col min="1" max="1" width="12.6181818181818" customWidth="1"/>
    <col min="2" max="2" width="11.8636363636364" customWidth="1"/>
    <col min="3" max="3" width="22.0272727272727" customWidth="1"/>
    <col min="4" max="4" width="11.8181818181818" customWidth="1"/>
    <col min="5" max="5" width="21.9090909090909" customWidth="1"/>
    <col min="6" max="6" width="18.2909090909091" style="9" customWidth="1"/>
    <col min="7" max="7" width="27.5818181818182" style="10" customWidth="1"/>
    <col min="8" max="8" width="15.6181818181818" style="9" customWidth="1"/>
    <col min="9" max="9" width="21.8090909090909" style="11" customWidth="1"/>
    <col min="10" max="10" width="21.8090909090909" style="12" customWidth="1"/>
    <col min="11" max="11" width="21.8090909090909" style="9" customWidth="1"/>
    <col min="12" max="12" width="25.3454545454545" style="9" customWidth="1"/>
    <col min="13" max="13" width="19.0363636363636" customWidth="1"/>
    <col min="14" max="14" width="19.0363636363636" style="5" customWidth="1"/>
    <col min="15" max="15" width="28.6363636363636" customWidth="1"/>
    <col min="16" max="16" width="14.4363636363636" customWidth="1"/>
    <col min="17" max="17" width="11.0090909090909" customWidth="1"/>
    <col min="18" max="18" width="26.2" customWidth="1"/>
    <col min="19" max="21" width="23.1" customWidth="1"/>
  </cols>
  <sheetData>
    <row r="1" ht="28" customHeight="1" spans="1:21">
      <c r="A1" s="1" t="s">
        <v>151</v>
      </c>
      <c r="B1" s="1" t="s">
        <v>0</v>
      </c>
      <c r="C1" s="1" t="s">
        <v>1</v>
      </c>
      <c r="D1" s="1" t="s">
        <v>152</v>
      </c>
      <c r="E1" s="1" t="s">
        <v>11</v>
      </c>
      <c r="F1" s="13" t="s">
        <v>153</v>
      </c>
      <c r="G1" s="14" t="s">
        <v>154</v>
      </c>
      <c r="H1" s="15" t="s">
        <v>155</v>
      </c>
      <c r="I1" s="16" t="s">
        <v>156</v>
      </c>
      <c r="J1" s="17" t="s">
        <v>157</v>
      </c>
      <c r="K1" s="15" t="s">
        <v>158</v>
      </c>
      <c r="L1" s="18" t="s">
        <v>159</v>
      </c>
      <c r="M1" s="19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10</v>
      </c>
    </row>
    <row r="2" spans="1:21">
      <c r="A2" s="2">
        <v>1</v>
      </c>
      <c r="B2" s="20" t="str">
        <f>VLOOKUP(C2,$C$39:$D$55,2,0)</f>
        <v>005693</v>
      </c>
      <c r="C2" s="20" t="s">
        <v>26</v>
      </c>
      <c r="D2" s="2" t="s">
        <v>168</v>
      </c>
      <c r="E2" s="21">
        <v>46088.9471296296</v>
      </c>
      <c r="F2" s="22">
        <v>399.82</v>
      </c>
      <c r="G2" s="23">
        <v>1.4256</v>
      </c>
      <c r="H2" s="22">
        <f t="shared" ref="H2:H17" si="0">F2*0.2</f>
        <v>79.964</v>
      </c>
      <c r="I2" s="24">
        <v>1.4484</v>
      </c>
      <c r="J2" s="25">
        <f t="shared" ref="J2:J17" si="1">I2*F2</f>
        <v>579.099288</v>
      </c>
      <c r="K2" s="22">
        <f t="shared" ref="K2:K17" si="2">F2*G2</f>
        <v>569.983392</v>
      </c>
      <c r="L2" s="22">
        <f t="shared" ref="L2:L17" si="3">J2-K2</f>
        <v>9.11589600000002</v>
      </c>
      <c r="M2" s="26">
        <f t="shared" ref="M2:M17" si="4">L2/K2</f>
        <v>0.015993265993266</v>
      </c>
      <c r="N2" s="27">
        <v>1</v>
      </c>
      <c r="O2" s="2" t="s">
        <v>169</v>
      </c>
      <c r="P2" s="2">
        <v>100</v>
      </c>
      <c r="Q2" s="2" t="s">
        <v>170</v>
      </c>
      <c r="R2" s="2">
        <v>270</v>
      </c>
      <c r="S2" s="2" t="s">
        <v>17</v>
      </c>
      <c r="T2" s="2" t="s">
        <v>17</v>
      </c>
      <c r="U2" s="2" t="s">
        <v>17</v>
      </c>
    </row>
    <row r="3" spans="1:21">
      <c r="A3" s="2">
        <v>2</v>
      </c>
      <c r="B3" s="2" t="str">
        <f t="shared" ref="B3:B11" si="5">VLOOKUP(C3,$C$39:$D$55,2,0)</f>
        <v>008702</v>
      </c>
      <c r="C3" s="2" t="s">
        <v>38</v>
      </c>
      <c r="D3" s="2" t="s">
        <v>168</v>
      </c>
      <c r="E3" s="21">
        <v>46088.9471296296</v>
      </c>
      <c r="F3" s="22">
        <v>479.56</v>
      </c>
      <c r="G3" s="23">
        <v>2.5023</v>
      </c>
      <c r="H3" s="22">
        <f t="shared" si="0"/>
        <v>95.912</v>
      </c>
      <c r="I3" s="24">
        <v>2.4685</v>
      </c>
      <c r="J3" s="25">
        <f t="shared" si="1"/>
        <v>1183.79386</v>
      </c>
      <c r="K3" s="22">
        <f t="shared" si="2"/>
        <v>1200.002988</v>
      </c>
      <c r="L3" s="22">
        <f t="shared" si="3"/>
        <v>-16.209128</v>
      </c>
      <c r="M3" s="26">
        <f t="shared" si="4"/>
        <v>-0.0135075730328098</v>
      </c>
      <c r="N3" s="27">
        <v>1</v>
      </c>
      <c r="O3" s="2" t="s">
        <v>171</v>
      </c>
      <c r="P3" s="2">
        <v>200</v>
      </c>
      <c r="Q3" s="2" t="s">
        <v>170</v>
      </c>
      <c r="R3" s="2">
        <v>2000</v>
      </c>
      <c r="S3" s="2" t="s">
        <v>17</v>
      </c>
      <c r="T3" s="2" t="s">
        <v>17</v>
      </c>
      <c r="U3" s="2" t="s">
        <v>17</v>
      </c>
    </row>
    <row r="4" spans="1:21">
      <c r="A4" s="2">
        <v>3</v>
      </c>
      <c r="B4" s="2" t="str">
        <f t="shared" si="5"/>
        <v>009034</v>
      </c>
      <c r="C4" s="2" t="s">
        <v>48</v>
      </c>
      <c r="D4" s="2" t="s">
        <v>168</v>
      </c>
      <c r="E4" s="21">
        <v>46088.9471296296</v>
      </c>
      <c r="F4" s="22">
        <v>383.5</v>
      </c>
      <c r="G4" s="23">
        <v>2.556</v>
      </c>
      <c r="H4" s="22">
        <f t="shared" si="0"/>
        <v>76.7</v>
      </c>
      <c r="I4" s="24">
        <v>2.636</v>
      </c>
      <c r="J4" s="25">
        <f t="shared" si="1"/>
        <v>1010.906</v>
      </c>
      <c r="K4" s="22">
        <f t="shared" si="2"/>
        <v>980.226</v>
      </c>
      <c r="L4" s="22">
        <f t="shared" si="3"/>
        <v>30.6800000000001</v>
      </c>
      <c r="M4" s="26">
        <f t="shared" si="4"/>
        <v>0.0312989045383412</v>
      </c>
      <c r="N4" s="27">
        <v>1</v>
      </c>
      <c r="O4" s="2" t="s">
        <v>172</v>
      </c>
      <c r="P4" s="2">
        <v>200</v>
      </c>
      <c r="Q4" s="2" t="s">
        <v>170</v>
      </c>
      <c r="R4" s="2">
        <v>2200</v>
      </c>
      <c r="S4" s="2" t="s">
        <v>17</v>
      </c>
      <c r="T4" s="2" t="s">
        <v>17</v>
      </c>
      <c r="U4" s="2" t="s">
        <v>17</v>
      </c>
    </row>
    <row r="5" spans="1:21">
      <c r="A5" s="2">
        <v>4</v>
      </c>
      <c r="B5" s="2" t="str">
        <f t="shared" si="5"/>
        <v>009505</v>
      </c>
      <c r="C5" s="2" t="s">
        <v>55</v>
      </c>
      <c r="D5" s="2" t="s">
        <v>168</v>
      </c>
      <c r="E5" s="21">
        <v>46088.9471296296</v>
      </c>
      <c r="F5" s="22">
        <v>416.65</v>
      </c>
      <c r="G5" s="23">
        <v>2.4001</v>
      </c>
      <c r="H5" s="22">
        <f t="shared" si="0"/>
        <v>83.33</v>
      </c>
      <c r="I5" s="24">
        <v>2.3958</v>
      </c>
      <c r="J5" s="25">
        <f t="shared" si="1"/>
        <v>998.21007</v>
      </c>
      <c r="K5" s="22">
        <f t="shared" si="2"/>
        <v>1000.001665</v>
      </c>
      <c r="L5" s="22">
        <f t="shared" si="3"/>
        <v>-1.79159500000014</v>
      </c>
      <c r="M5" s="26">
        <f t="shared" si="4"/>
        <v>-0.00179159201699943</v>
      </c>
      <c r="N5" s="27">
        <v>1</v>
      </c>
      <c r="O5" s="2" t="s">
        <v>173</v>
      </c>
      <c r="P5" s="2">
        <v>200</v>
      </c>
      <c r="Q5" s="2" t="s">
        <v>170</v>
      </c>
      <c r="R5" s="2">
        <v>2800</v>
      </c>
      <c r="S5" s="2" t="s">
        <v>17</v>
      </c>
      <c r="T5" s="2" t="s">
        <v>17</v>
      </c>
      <c r="U5" s="2" t="s">
        <v>17</v>
      </c>
    </row>
    <row r="6" spans="1:21">
      <c r="A6" s="2">
        <v>5</v>
      </c>
      <c r="B6" s="2" t="str">
        <f t="shared" si="5"/>
        <v>014662</v>
      </c>
      <c r="C6" s="2" t="s">
        <v>61</v>
      </c>
      <c r="D6" s="2" t="s">
        <v>168</v>
      </c>
      <c r="E6" s="21">
        <v>46088.9471296296</v>
      </c>
      <c r="F6" s="22">
        <v>233.16</v>
      </c>
      <c r="G6" s="23">
        <v>2.5733</v>
      </c>
      <c r="H6" s="22">
        <f t="shared" si="0"/>
        <v>46.632</v>
      </c>
      <c r="I6" s="24">
        <v>2.5423</v>
      </c>
      <c r="J6" s="25">
        <f t="shared" si="1"/>
        <v>592.762668</v>
      </c>
      <c r="K6" s="22">
        <f t="shared" si="2"/>
        <v>599.990628</v>
      </c>
      <c r="L6" s="22">
        <f t="shared" si="3"/>
        <v>-7.22796000000005</v>
      </c>
      <c r="M6" s="26">
        <f t="shared" si="4"/>
        <v>-0.0120467881708313</v>
      </c>
      <c r="N6" s="27">
        <v>1</v>
      </c>
      <c r="O6" s="2" t="s">
        <v>174</v>
      </c>
      <c r="P6" s="2">
        <v>200</v>
      </c>
      <c r="Q6" s="2" t="s">
        <v>170</v>
      </c>
      <c r="R6" s="2">
        <v>5500</v>
      </c>
      <c r="S6" s="2" t="s">
        <v>17</v>
      </c>
      <c r="T6" s="2" t="s">
        <v>17</v>
      </c>
      <c r="U6" s="2" t="s">
        <v>17</v>
      </c>
    </row>
    <row r="7" spans="1:21">
      <c r="A7" s="2">
        <v>6</v>
      </c>
      <c r="B7" s="20" t="str">
        <f t="shared" si="5"/>
        <v>014881</v>
      </c>
      <c r="C7" s="20" t="s">
        <v>67</v>
      </c>
      <c r="D7" s="2" t="s">
        <v>168</v>
      </c>
      <c r="E7" s="21">
        <v>46088.9471296296</v>
      </c>
      <c r="F7" s="22">
        <v>1572.57</v>
      </c>
      <c r="G7" s="23">
        <v>1.2718</v>
      </c>
      <c r="H7" s="22">
        <f t="shared" si="0"/>
        <v>314.514</v>
      </c>
      <c r="I7" s="24">
        <v>1.2077</v>
      </c>
      <c r="J7" s="25">
        <f t="shared" si="1"/>
        <v>1899.192789</v>
      </c>
      <c r="K7" s="22">
        <f t="shared" si="2"/>
        <v>1999.994526</v>
      </c>
      <c r="L7" s="22">
        <f t="shared" si="3"/>
        <v>-100.801737</v>
      </c>
      <c r="M7" s="26">
        <f t="shared" si="4"/>
        <v>-0.0504010064475547</v>
      </c>
      <c r="N7" s="27">
        <v>0</v>
      </c>
      <c r="O7" s="2" t="s">
        <v>17</v>
      </c>
      <c r="P7" s="2" t="s">
        <v>17</v>
      </c>
      <c r="Q7" s="2" t="s">
        <v>17</v>
      </c>
      <c r="R7" s="2" t="s">
        <v>17</v>
      </c>
      <c r="S7" s="2" t="s">
        <v>17</v>
      </c>
      <c r="T7" s="2" t="s">
        <v>17</v>
      </c>
      <c r="U7" s="2" t="s">
        <v>17</v>
      </c>
    </row>
    <row r="8" spans="1:21">
      <c r="A8" s="2">
        <v>7</v>
      </c>
      <c r="B8" s="20" t="str">
        <f t="shared" si="5"/>
        <v>017470</v>
      </c>
      <c r="C8" s="20" t="s">
        <v>75</v>
      </c>
      <c r="D8" s="2" t="s">
        <v>168</v>
      </c>
      <c r="E8" s="21">
        <v>46088.9471296296</v>
      </c>
      <c r="F8" s="22">
        <v>433.92</v>
      </c>
      <c r="G8" s="23">
        <v>2.1663</v>
      </c>
      <c r="H8" s="22">
        <f t="shared" si="0"/>
        <v>86.784</v>
      </c>
      <c r="I8" s="24">
        <v>2.1024</v>
      </c>
      <c r="J8" s="25">
        <f t="shared" si="1"/>
        <v>912.273408</v>
      </c>
      <c r="K8" s="22">
        <f t="shared" si="2"/>
        <v>940.000896</v>
      </c>
      <c r="L8" s="22">
        <f t="shared" si="3"/>
        <v>-27.7274880000002</v>
      </c>
      <c r="M8" s="26">
        <f t="shared" si="4"/>
        <v>-0.0294972995429998</v>
      </c>
      <c r="N8" s="27">
        <v>1</v>
      </c>
      <c r="O8" s="2" t="s">
        <v>175</v>
      </c>
      <c r="P8" s="2">
        <v>100</v>
      </c>
      <c r="Q8" s="2" t="s">
        <v>176</v>
      </c>
      <c r="R8" s="2">
        <v>840</v>
      </c>
      <c r="S8" s="2" t="s">
        <v>17</v>
      </c>
      <c r="T8" s="2" t="s">
        <v>17</v>
      </c>
      <c r="U8" s="2" t="s">
        <v>17</v>
      </c>
    </row>
    <row r="9" spans="1:21">
      <c r="A9" s="2">
        <v>8</v>
      </c>
      <c r="B9" s="20" t="str">
        <f t="shared" si="5"/>
        <v>018345</v>
      </c>
      <c r="C9" s="20" t="s">
        <v>83</v>
      </c>
      <c r="D9" s="2" t="s">
        <v>168</v>
      </c>
      <c r="E9" s="21">
        <v>46088.9471296296</v>
      </c>
      <c r="F9" s="22">
        <v>1545.12</v>
      </c>
      <c r="G9" s="23">
        <v>1.2944</v>
      </c>
      <c r="H9" s="22">
        <f t="shared" si="0"/>
        <v>309.024</v>
      </c>
      <c r="I9" s="24">
        <v>1.2294</v>
      </c>
      <c r="J9" s="25">
        <f t="shared" si="1"/>
        <v>1899.570528</v>
      </c>
      <c r="K9" s="22">
        <f t="shared" si="2"/>
        <v>2000.003328</v>
      </c>
      <c r="L9" s="22">
        <f t="shared" si="3"/>
        <v>-100.4328</v>
      </c>
      <c r="M9" s="26">
        <f t="shared" si="4"/>
        <v>-0.0502163164400494</v>
      </c>
      <c r="N9" s="27">
        <v>0</v>
      </c>
      <c r="O9" s="2" t="s">
        <v>17</v>
      </c>
      <c r="P9" s="2" t="s">
        <v>17</v>
      </c>
      <c r="Q9" s="2" t="s">
        <v>17</v>
      </c>
      <c r="R9" s="2" t="s">
        <v>17</v>
      </c>
      <c r="S9" s="2" t="s">
        <v>17</v>
      </c>
      <c r="T9" s="2" t="s">
        <v>17</v>
      </c>
      <c r="U9" s="2" t="s">
        <v>17</v>
      </c>
    </row>
    <row r="10" spans="1:21">
      <c r="A10" s="2">
        <v>9</v>
      </c>
      <c r="B10" s="2" t="str">
        <f t="shared" si="5"/>
        <v>020341</v>
      </c>
      <c r="C10" s="2" t="s">
        <v>87</v>
      </c>
      <c r="D10" s="2" t="s">
        <v>168</v>
      </c>
      <c r="E10" s="21">
        <v>46088.9471296296</v>
      </c>
      <c r="F10" s="22">
        <v>388.55</v>
      </c>
      <c r="G10" s="23">
        <v>2.5737</v>
      </c>
      <c r="H10" s="22">
        <f t="shared" si="0"/>
        <v>77.71</v>
      </c>
      <c r="I10" s="24">
        <v>2.5857</v>
      </c>
      <c r="J10" s="25">
        <f t="shared" si="1"/>
        <v>1004.673735</v>
      </c>
      <c r="K10" s="22">
        <f t="shared" si="2"/>
        <v>1000.011135</v>
      </c>
      <c r="L10" s="22">
        <f t="shared" si="3"/>
        <v>4.6626</v>
      </c>
      <c r="M10" s="26">
        <f t="shared" si="4"/>
        <v>0.0046625480825271</v>
      </c>
      <c r="N10" s="27">
        <v>1</v>
      </c>
      <c r="O10" s="2" t="s">
        <v>177</v>
      </c>
      <c r="P10" s="2">
        <v>200</v>
      </c>
      <c r="Q10" s="2" t="s">
        <v>170</v>
      </c>
      <c r="R10" s="2">
        <v>2000</v>
      </c>
      <c r="S10" s="2" t="s">
        <v>17</v>
      </c>
      <c r="T10" s="2" t="s">
        <v>17</v>
      </c>
      <c r="U10" s="2" t="s">
        <v>17</v>
      </c>
    </row>
    <row r="11" spans="1:21">
      <c r="A11" s="2">
        <v>10</v>
      </c>
      <c r="B11" s="20" t="str">
        <f t="shared" si="5"/>
        <v>020482</v>
      </c>
      <c r="C11" s="20" t="s">
        <v>93</v>
      </c>
      <c r="D11" s="2" t="s">
        <v>168</v>
      </c>
      <c r="E11" s="21">
        <v>46088.9471296296</v>
      </c>
      <c r="F11" s="22">
        <v>1209.85</v>
      </c>
      <c r="G11" s="23">
        <v>1.6531</v>
      </c>
      <c r="H11" s="22">
        <f t="shared" si="0"/>
        <v>241.97</v>
      </c>
      <c r="I11" s="24">
        <v>1.57</v>
      </c>
      <c r="J11" s="25">
        <f t="shared" si="1"/>
        <v>1899.4645</v>
      </c>
      <c r="K11" s="22">
        <f t="shared" si="2"/>
        <v>2000.003035</v>
      </c>
      <c r="L11" s="22">
        <f t="shared" si="3"/>
        <v>-100.538535</v>
      </c>
      <c r="M11" s="26">
        <f t="shared" si="4"/>
        <v>-0.0502691912165023</v>
      </c>
      <c r="N11" s="27">
        <v>0</v>
      </c>
      <c r="O11" s="2" t="s">
        <v>17</v>
      </c>
      <c r="P11" s="2" t="s">
        <v>17</v>
      </c>
      <c r="Q11" s="2" t="s">
        <v>17</v>
      </c>
      <c r="R11" s="2" t="s">
        <v>17</v>
      </c>
      <c r="S11" s="2" t="s">
        <v>17</v>
      </c>
      <c r="T11" s="2" t="s">
        <v>17</v>
      </c>
      <c r="U11" s="2" t="s">
        <v>17</v>
      </c>
    </row>
    <row r="12" spans="1:21">
      <c r="A12" s="2">
        <v>11</v>
      </c>
      <c r="B12" s="33" t="s">
        <v>145</v>
      </c>
      <c r="C12" s="20" t="s">
        <v>99</v>
      </c>
      <c r="D12" s="2" t="s">
        <v>178</v>
      </c>
      <c r="E12" s="21">
        <v>46088.9471296296</v>
      </c>
      <c r="F12" s="22">
        <v>600</v>
      </c>
      <c r="G12" s="23">
        <v>1.506</v>
      </c>
      <c r="H12" s="22">
        <f t="shared" si="0"/>
        <v>120</v>
      </c>
      <c r="I12" s="24">
        <v>1.498</v>
      </c>
      <c r="J12" s="25">
        <f t="shared" si="1"/>
        <v>898.8</v>
      </c>
      <c r="K12" s="22">
        <f t="shared" si="2"/>
        <v>903.6</v>
      </c>
      <c r="L12" s="22">
        <f t="shared" si="3"/>
        <v>-4.80000000000007</v>
      </c>
      <c r="M12" s="26">
        <f t="shared" si="4"/>
        <v>-0.00531208499335997</v>
      </c>
      <c r="N12" s="27">
        <v>0</v>
      </c>
      <c r="O12" s="2" t="s">
        <v>17</v>
      </c>
      <c r="P12" s="2" t="s">
        <v>17</v>
      </c>
      <c r="Q12" s="2" t="s">
        <v>17</v>
      </c>
      <c r="R12" s="2" t="s">
        <v>17</v>
      </c>
      <c r="S12" s="2" t="s">
        <v>17</v>
      </c>
      <c r="T12" s="2" t="s">
        <v>17</v>
      </c>
      <c r="U12" s="2" t="s">
        <v>17</v>
      </c>
    </row>
    <row r="13" spans="1:21">
      <c r="A13" s="2">
        <v>12</v>
      </c>
      <c r="B13" s="33" t="s">
        <v>146</v>
      </c>
      <c r="C13" s="20" t="s">
        <v>106</v>
      </c>
      <c r="D13" s="2" t="s">
        <v>178</v>
      </c>
      <c r="E13" s="21">
        <v>46088.9471296296</v>
      </c>
      <c r="F13" s="22">
        <v>600</v>
      </c>
      <c r="G13" s="23">
        <v>1.538</v>
      </c>
      <c r="H13" s="22">
        <f t="shared" si="0"/>
        <v>120</v>
      </c>
      <c r="I13" s="24">
        <v>1.528</v>
      </c>
      <c r="J13" s="25">
        <f t="shared" si="1"/>
        <v>916.8</v>
      </c>
      <c r="K13" s="22">
        <f t="shared" si="2"/>
        <v>922.8</v>
      </c>
      <c r="L13" s="22">
        <f t="shared" si="3"/>
        <v>-6</v>
      </c>
      <c r="M13" s="26">
        <f t="shared" si="4"/>
        <v>-0.00650195058517555</v>
      </c>
      <c r="N13" s="27">
        <v>0</v>
      </c>
      <c r="O13" s="2" t="s">
        <v>17</v>
      </c>
      <c r="P13" s="2" t="s">
        <v>17</v>
      </c>
      <c r="Q13" s="2" t="s">
        <v>17</v>
      </c>
      <c r="R13" s="2" t="s">
        <v>17</v>
      </c>
      <c r="S13" s="2" t="s">
        <v>17</v>
      </c>
      <c r="T13" s="2" t="s">
        <v>17</v>
      </c>
      <c r="U13" s="2" t="s">
        <v>17</v>
      </c>
    </row>
    <row r="14" spans="1:21">
      <c r="A14" s="2">
        <v>13</v>
      </c>
      <c r="B14" s="33" t="s">
        <v>147</v>
      </c>
      <c r="C14" s="20" t="s">
        <v>109</v>
      </c>
      <c r="D14" s="2" t="s">
        <v>178</v>
      </c>
      <c r="E14" s="21">
        <v>46088.9471296296</v>
      </c>
      <c r="F14" s="22">
        <v>1500</v>
      </c>
      <c r="G14" s="23">
        <v>1.609</v>
      </c>
      <c r="H14" s="22">
        <f t="shared" si="0"/>
        <v>300</v>
      </c>
      <c r="I14" s="24">
        <v>1.48</v>
      </c>
      <c r="J14" s="25">
        <f t="shared" si="1"/>
        <v>2220</v>
      </c>
      <c r="K14" s="22">
        <f t="shared" si="2"/>
        <v>2413.5</v>
      </c>
      <c r="L14" s="22">
        <f t="shared" si="3"/>
        <v>-193.5</v>
      </c>
      <c r="M14" s="26">
        <f t="shared" si="4"/>
        <v>-0.0801740211311373</v>
      </c>
      <c r="N14" s="27">
        <v>0</v>
      </c>
      <c r="O14" s="2" t="s">
        <v>17</v>
      </c>
      <c r="P14" s="2" t="s">
        <v>17</v>
      </c>
      <c r="Q14" s="2" t="s">
        <v>17</v>
      </c>
      <c r="R14" s="2" t="s">
        <v>17</v>
      </c>
      <c r="S14" s="2" t="s">
        <v>17</v>
      </c>
      <c r="T14" s="2" t="s">
        <v>17</v>
      </c>
      <c r="U14" s="2" t="s">
        <v>17</v>
      </c>
    </row>
    <row r="15" spans="1:21">
      <c r="A15" s="2">
        <v>14</v>
      </c>
      <c r="B15" s="33" t="s">
        <v>148</v>
      </c>
      <c r="C15" s="20" t="s">
        <v>116</v>
      </c>
      <c r="D15" s="2" t="s">
        <v>178</v>
      </c>
      <c r="E15" s="21">
        <v>46088.9471296296</v>
      </c>
      <c r="F15" s="22">
        <v>1600</v>
      </c>
      <c r="G15" s="23">
        <v>1.123</v>
      </c>
      <c r="H15" s="22">
        <f t="shared" si="0"/>
        <v>320</v>
      </c>
      <c r="I15" s="24">
        <v>1.061</v>
      </c>
      <c r="J15" s="25">
        <f t="shared" si="1"/>
        <v>1697.6</v>
      </c>
      <c r="K15" s="22">
        <f t="shared" si="2"/>
        <v>1796.8</v>
      </c>
      <c r="L15" s="22">
        <f t="shared" si="3"/>
        <v>-99.2</v>
      </c>
      <c r="M15" s="26">
        <f t="shared" si="4"/>
        <v>-0.0552092609082814</v>
      </c>
      <c r="N15" s="27">
        <v>0</v>
      </c>
      <c r="O15" s="2" t="s">
        <v>17</v>
      </c>
      <c r="P15" s="2" t="s">
        <v>17</v>
      </c>
      <c r="Q15" s="2" t="s">
        <v>17</v>
      </c>
      <c r="R15" s="2" t="s">
        <v>17</v>
      </c>
      <c r="S15" s="2" t="s">
        <v>17</v>
      </c>
      <c r="T15" s="2" t="s">
        <v>17</v>
      </c>
      <c r="U15" s="2" t="s">
        <v>17</v>
      </c>
    </row>
    <row r="16" spans="1:21">
      <c r="A16" s="2">
        <v>15</v>
      </c>
      <c r="B16" s="33" t="s">
        <v>149</v>
      </c>
      <c r="C16" s="20" t="s">
        <v>121</v>
      </c>
      <c r="D16" s="2" t="s">
        <v>178</v>
      </c>
      <c r="E16" s="21">
        <v>46088.9471296296</v>
      </c>
      <c r="F16" s="22">
        <v>1500</v>
      </c>
      <c r="G16" s="23">
        <v>0.938</v>
      </c>
      <c r="H16" s="22">
        <f t="shared" si="0"/>
        <v>300</v>
      </c>
      <c r="I16" s="24">
        <v>0.92</v>
      </c>
      <c r="J16" s="25">
        <f t="shared" si="1"/>
        <v>1380</v>
      </c>
      <c r="K16" s="22">
        <f t="shared" si="2"/>
        <v>1407</v>
      </c>
      <c r="L16" s="22">
        <f t="shared" si="3"/>
        <v>-27</v>
      </c>
      <c r="M16" s="26">
        <f t="shared" si="4"/>
        <v>-0.0191897654584222</v>
      </c>
      <c r="N16" s="27">
        <v>0</v>
      </c>
      <c r="O16" s="2" t="s">
        <v>17</v>
      </c>
      <c r="P16" s="2" t="s">
        <v>17</v>
      </c>
      <c r="Q16" s="2" t="s">
        <v>17</v>
      </c>
      <c r="R16" s="2" t="s">
        <v>17</v>
      </c>
      <c r="S16" s="2" t="s">
        <v>17</v>
      </c>
      <c r="T16" s="2" t="s">
        <v>17</v>
      </c>
      <c r="U16" s="2" t="s">
        <v>17</v>
      </c>
    </row>
    <row r="17" spans="1:21">
      <c r="A17" s="2">
        <v>16</v>
      </c>
      <c r="B17" s="33" t="s">
        <v>150</v>
      </c>
      <c r="C17" s="20" t="s">
        <v>128</v>
      </c>
      <c r="D17" s="2" t="s">
        <v>178</v>
      </c>
      <c r="E17" s="21">
        <v>46088.9471296296</v>
      </c>
      <c r="F17" s="22">
        <v>200</v>
      </c>
      <c r="G17" s="23">
        <v>0.786</v>
      </c>
      <c r="H17" s="22">
        <f t="shared" si="0"/>
        <v>40</v>
      </c>
      <c r="I17" s="24">
        <v>0.737</v>
      </c>
      <c r="J17" s="25">
        <f t="shared" si="1"/>
        <v>147.4</v>
      </c>
      <c r="K17" s="22">
        <f t="shared" si="2"/>
        <v>157.2</v>
      </c>
      <c r="L17" s="22">
        <f t="shared" si="3"/>
        <v>-9.80000000000001</v>
      </c>
      <c r="M17" s="26">
        <f t="shared" si="4"/>
        <v>-0.0623409669211197</v>
      </c>
      <c r="N17" s="27">
        <v>0</v>
      </c>
      <c r="O17" s="2" t="s">
        <v>17</v>
      </c>
      <c r="P17" s="2" t="s">
        <v>17</v>
      </c>
      <c r="Q17" s="2" t="s">
        <v>17</v>
      </c>
      <c r="R17" s="2" t="s">
        <v>17</v>
      </c>
      <c r="S17" s="2" t="s">
        <v>17</v>
      </c>
      <c r="T17" s="2" t="s">
        <v>17</v>
      </c>
      <c r="U17" s="2" t="s">
        <v>17</v>
      </c>
    </row>
    <row r="18" spans="1:21">
      <c r="A18" s="2">
        <v>17</v>
      </c>
      <c r="C18" t="s">
        <v>179</v>
      </c>
      <c r="D18" s="2" t="s">
        <v>178</v>
      </c>
      <c r="E18" s="21">
        <v>46088.9471296296</v>
      </c>
      <c r="J18" s="12">
        <v>23000</v>
      </c>
      <c r="K18" s="9">
        <v>23000</v>
      </c>
    </row>
    <row r="19" spans="1:21">
      <c r="A19" s="1"/>
      <c r="B19" s="2" t="str">
        <f>VLOOKUP(C19,$C$39:$D$55,2,0)</f>
        <v>002183</v>
      </c>
      <c r="C19" s="2" t="s">
        <v>14</v>
      </c>
      <c r="D19" s="2" t="s">
        <v>178</v>
      </c>
      <c r="E19" s="21">
        <v>46088.9471296296</v>
      </c>
      <c r="F19" s="22"/>
      <c r="G19" s="23"/>
      <c r="H19" s="22"/>
      <c r="I19" s="24" t="s">
        <v>17</v>
      </c>
      <c r="J19" s="25">
        <v>81070.62</v>
      </c>
      <c r="K19" s="22">
        <f>J19</f>
        <v>81070.62</v>
      </c>
      <c r="L19" s="22">
        <v>1064.62</v>
      </c>
      <c r="M19" s="26">
        <f>L19/K19</f>
        <v>0.0131320076249571</v>
      </c>
      <c r="N19" s="27">
        <v>0</v>
      </c>
      <c r="O19" s="2" t="s">
        <v>17</v>
      </c>
      <c r="P19" s="2" t="s">
        <v>17</v>
      </c>
      <c r="Q19" s="2" t="s">
        <v>17</v>
      </c>
      <c r="R19" s="2" t="s">
        <v>17</v>
      </c>
      <c r="S19" s="2" t="s">
        <v>17</v>
      </c>
      <c r="T19" s="2" t="s">
        <v>17</v>
      </c>
      <c r="U19" s="2" t="s">
        <v>17</v>
      </c>
    </row>
    <row r="21" spans="1:21">
      <c r="C21" s="28" t="s">
        <v>180</v>
      </c>
    </row>
    <row r="22" spans="1:21">
      <c r="C22" s="29"/>
      <c r="J22" s="12">
        <f>SUM(J2:J17)</f>
        <v>19240.546846</v>
      </c>
      <c r="K22" s="12">
        <f>SUM(K2:K17)</f>
        <v>19891.117593</v>
      </c>
      <c r="L22" s="12">
        <f>SUM(L2:L17)</f>
        <v>-650.570747</v>
      </c>
      <c r="M22" s="30">
        <f>L22/K22</f>
        <v>-0.0327065959948347</v>
      </c>
    </row>
    <row r="23" spans="1:21">
      <c r="C23" s="28" t="s">
        <v>181</v>
      </c>
    </row>
    <row r="24" spans="1:21">
      <c r="C24" s="29"/>
    </row>
    <row r="25" spans="1:21">
      <c r="C25" s="28" t="s">
        <v>182</v>
      </c>
    </row>
    <row r="26" spans="1:21">
      <c r="C26" s="29"/>
    </row>
    <row r="27" spans="1:21">
      <c r="C27" s="6" t="s">
        <v>183</v>
      </c>
    </row>
    <row r="28" spans="1:21">
      <c r="C28" s="6" t="s">
        <v>184</v>
      </c>
    </row>
    <row r="29" spans="1:21">
      <c r="C29" s="6" t="s">
        <v>185</v>
      </c>
    </row>
    <row r="30" spans="1:21">
      <c r="C30" s="29"/>
    </row>
    <row r="31" spans="1:21">
      <c r="C31" s="28" t="s">
        <v>186</v>
      </c>
    </row>
    <row r="32" spans="1:21">
      <c r="C32" s="29"/>
    </row>
    <row r="33" spans="3:4">
      <c r="C33" s="6" t="s">
        <v>187</v>
      </c>
    </row>
    <row r="34" spans="3:4">
      <c r="C34" s="6" t="s">
        <v>188</v>
      </c>
    </row>
    <row r="35" spans="3:4">
      <c r="C35" s="6" t="s">
        <v>189</v>
      </c>
    </row>
    <row r="38" ht="28" spans="3:4">
      <c r="C38" s="1" t="s">
        <v>1</v>
      </c>
      <c r="D38" s="1" t="s">
        <v>0</v>
      </c>
    </row>
    <row r="39" spans="3:4">
      <c r="C39" s="3" t="s">
        <v>14</v>
      </c>
      <c r="D39" s="3" t="s">
        <v>134</v>
      </c>
    </row>
    <row r="40" spans="3:4">
      <c r="C40" s="3" t="s">
        <v>26</v>
      </c>
      <c r="D40" s="3" t="s">
        <v>135</v>
      </c>
    </row>
    <row r="41" spans="3:4">
      <c r="C41" s="3" t="s">
        <v>38</v>
      </c>
      <c r="D41" s="3" t="s">
        <v>136</v>
      </c>
    </row>
    <row r="42" spans="3:4">
      <c r="C42" s="3" t="s">
        <v>48</v>
      </c>
      <c r="D42" s="3" t="s">
        <v>137</v>
      </c>
    </row>
    <row r="43" spans="3:4">
      <c r="C43" s="3" t="s">
        <v>55</v>
      </c>
      <c r="D43" s="3" t="s">
        <v>138</v>
      </c>
    </row>
    <row r="44" spans="3:4">
      <c r="C44" s="3" t="s">
        <v>61</v>
      </c>
      <c r="D44" s="3" t="s">
        <v>139</v>
      </c>
    </row>
    <row r="45" spans="3:4">
      <c r="C45" s="3" t="s">
        <v>67</v>
      </c>
      <c r="D45" s="3" t="s">
        <v>140</v>
      </c>
    </row>
    <row r="46" spans="3:4">
      <c r="C46" s="3" t="s">
        <v>75</v>
      </c>
      <c r="D46" s="3" t="s">
        <v>141</v>
      </c>
    </row>
    <row r="47" spans="3:4">
      <c r="C47" s="3" t="s">
        <v>83</v>
      </c>
      <c r="D47" s="3" t="s">
        <v>142</v>
      </c>
    </row>
    <row r="48" spans="3:4">
      <c r="C48" s="3" t="s">
        <v>87</v>
      </c>
      <c r="D48" s="3" t="s">
        <v>143</v>
      </c>
    </row>
    <row r="49" spans="3:4">
      <c r="C49" s="3" t="s">
        <v>93</v>
      </c>
      <c r="D49" s="3" t="s">
        <v>144</v>
      </c>
    </row>
    <row r="50" spans="3:4">
      <c r="C50" s="2" t="s">
        <v>99</v>
      </c>
      <c r="D50" s="3" t="s">
        <v>145</v>
      </c>
    </row>
    <row r="51" spans="3:4">
      <c r="C51" s="2" t="s">
        <v>106</v>
      </c>
      <c r="D51" s="3" t="s">
        <v>146</v>
      </c>
    </row>
    <row r="52" spans="3:4">
      <c r="C52" s="2" t="s">
        <v>109</v>
      </c>
      <c r="D52" s="3" t="s">
        <v>147</v>
      </c>
    </row>
    <row r="53" spans="3:4">
      <c r="C53" s="2" t="s">
        <v>116</v>
      </c>
      <c r="D53" s="3" t="s">
        <v>148</v>
      </c>
    </row>
    <row r="54" spans="3:4">
      <c r="C54" s="2" t="s">
        <v>121</v>
      </c>
      <c r="D54" s="3" t="s">
        <v>149</v>
      </c>
    </row>
    <row r="55" spans="3:4">
      <c r="C55" s="2" t="s">
        <v>128</v>
      </c>
      <c r="D55" s="3" t="s">
        <v>150</v>
      </c>
    </row>
  </sheetData>
  <sortState ref="C22:E38">
    <sortCondition ref="D23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workbookViewId="0">
      <selection activeCell="B27" sqref="B27"/>
    </sheetView>
  </sheetViews>
  <sheetFormatPr defaultColWidth="9" defaultRowHeight="14"/>
  <cols>
    <col min="1" max="1" width="16" customWidth="1"/>
    <col min="2" max="2" width="28" customWidth="1"/>
    <col min="3" max="3" width="20" customWidth="1"/>
    <col min="4" max="4" width="30" customWidth="1"/>
    <col min="5" max="5" width="20" style="5" customWidth="1"/>
    <col min="6" max="6" width="30" customWidth="1"/>
    <col min="7" max="7" width="18" customWidth="1"/>
    <col min="8" max="8" width="20" customWidth="1"/>
    <col min="9" max="10" width="22" customWidth="1"/>
  </cols>
  <sheetData>
    <row r="1" ht="28" spans="1:10">
      <c r="A1" s="1" t="s">
        <v>190</v>
      </c>
      <c r="B1" s="1" t="s">
        <v>6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10</v>
      </c>
      <c r="J1" s="1" t="s">
        <v>11</v>
      </c>
    </row>
    <row r="2" spans="1:10">
      <c r="A2">
        <v>1</v>
      </c>
      <c r="B2" t="s">
        <v>197</v>
      </c>
      <c r="C2" t="s">
        <v>198</v>
      </c>
      <c r="D2" t="s">
        <v>199</v>
      </c>
      <c r="E2" s="5">
        <v>0.3</v>
      </c>
      <c r="F2" t="s">
        <v>200</v>
      </c>
      <c r="G2">
        <v>1</v>
      </c>
      <c r="H2">
        <v>1</v>
      </c>
      <c r="I2" t="s">
        <v>201</v>
      </c>
      <c r="J2" t="s">
        <v>201</v>
      </c>
    </row>
    <row r="3" spans="1:10">
      <c r="A3">
        <v>2</v>
      </c>
      <c r="B3" t="s">
        <v>197</v>
      </c>
      <c r="C3" t="s">
        <v>198</v>
      </c>
      <c r="D3" t="s">
        <v>202</v>
      </c>
      <c r="E3" s="5">
        <v>0.5</v>
      </c>
      <c r="F3" t="s">
        <v>203</v>
      </c>
      <c r="G3">
        <v>2</v>
      </c>
      <c r="H3">
        <v>1</v>
      </c>
      <c r="I3" t="s">
        <v>201</v>
      </c>
      <c r="J3" t="s">
        <v>201</v>
      </c>
    </row>
    <row r="4" spans="1:10">
      <c r="A4">
        <v>3</v>
      </c>
      <c r="B4" t="s">
        <v>197</v>
      </c>
      <c r="C4" t="s">
        <v>204</v>
      </c>
      <c r="D4" t="s">
        <v>205</v>
      </c>
      <c r="E4" s="5">
        <v>-0.1</v>
      </c>
      <c r="F4" t="s">
        <v>206</v>
      </c>
      <c r="G4">
        <v>1</v>
      </c>
      <c r="H4">
        <v>1</v>
      </c>
      <c r="I4" t="s">
        <v>201</v>
      </c>
      <c r="J4" t="s">
        <v>201</v>
      </c>
    </row>
    <row r="5" spans="1:10">
      <c r="A5">
        <v>4</v>
      </c>
      <c r="B5" t="s">
        <v>197</v>
      </c>
      <c r="C5" t="s">
        <v>204</v>
      </c>
      <c r="D5" t="s">
        <v>207</v>
      </c>
      <c r="E5" s="5">
        <v>-0.2</v>
      </c>
      <c r="F5" t="s">
        <v>208</v>
      </c>
      <c r="G5">
        <v>2</v>
      </c>
      <c r="H5">
        <v>1</v>
      </c>
      <c r="I5" t="s">
        <v>201</v>
      </c>
      <c r="J5" t="s">
        <v>201</v>
      </c>
    </row>
    <row r="6" spans="1:10">
      <c r="A6">
        <v>5</v>
      </c>
      <c r="B6" t="s">
        <v>197</v>
      </c>
      <c r="C6" t="s">
        <v>204</v>
      </c>
      <c r="D6" t="s">
        <v>209</v>
      </c>
      <c r="E6" s="5">
        <v>-0.3</v>
      </c>
      <c r="F6" t="s">
        <v>210</v>
      </c>
      <c r="G6">
        <v>3</v>
      </c>
      <c r="H6">
        <v>1</v>
      </c>
      <c r="I6" t="s">
        <v>201</v>
      </c>
      <c r="J6" t="s">
        <v>201</v>
      </c>
    </row>
    <row r="7" spans="1:10">
      <c r="A7">
        <v>6</v>
      </c>
      <c r="B7" t="s">
        <v>197</v>
      </c>
      <c r="C7" t="s">
        <v>211</v>
      </c>
      <c r="D7" t="s">
        <v>212</v>
      </c>
      <c r="E7" s="5">
        <v>-0.02</v>
      </c>
      <c r="F7" t="s">
        <v>213</v>
      </c>
      <c r="G7">
        <v>1</v>
      </c>
      <c r="H7">
        <v>1</v>
      </c>
      <c r="I7" t="s">
        <v>201</v>
      </c>
      <c r="J7" t="s">
        <v>201</v>
      </c>
    </row>
    <row r="8" spans="1:10">
      <c r="A8">
        <v>7</v>
      </c>
      <c r="B8" t="s">
        <v>197</v>
      </c>
      <c r="C8" t="s">
        <v>211</v>
      </c>
      <c r="D8" t="s">
        <v>214</v>
      </c>
      <c r="E8" s="5">
        <v>-0.03</v>
      </c>
      <c r="F8" t="s">
        <v>215</v>
      </c>
      <c r="G8">
        <v>2</v>
      </c>
      <c r="H8">
        <v>1</v>
      </c>
      <c r="I8" t="s">
        <v>201</v>
      </c>
      <c r="J8" t="s">
        <v>201</v>
      </c>
    </row>
    <row r="9" spans="1:10">
      <c r="A9">
        <v>8</v>
      </c>
      <c r="B9" t="s">
        <v>197</v>
      </c>
      <c r="C9" t="s">
        <v>211</v>
      </c>
      <c r="D9" t="s">
        <v>216</v>
      </c>
      <c r="E9" s="5">
        <v>-0.05</v>
      </c>
      <c r="F9" t="s">
        <v>217</v>
      </c>
      <c r="G9">
        <v>3</v>
      </c>
      <c r="H9">
        <v>1</v>
      </c>
      <c r="I9" t="s">
        <v>201</v>
      </c>
      <c r="J9" t="s">
        <v>201</v>
      </c>
    </row>
    <row r="10" spans="1:10">
      <c r="A10">
        <v>9</v>
      </c>
      <c r="B10" t="s">
        <v>41</v>
      </c>
      <c r="C10" t="s">
        <v>198</v>
      </c>
      <c r="D10" t="s">
        <v>218</v>
      </c>
      <c r="E10" s="5">
        <v>0.1</v>
      </c>
      <c r="F10" t="s">
        <v>219</v>
      </c>
      <c r="G10">
        <v>1</v>
      </c>
      <c r="H10">
        <v>1</v>
      </c>
      <c r="I10" t="s">
        <v>201</v>
      </c>
      <c r="J10" t="s">
        <v>201</v>
      </c>
    </row>
    <row r="11" spans="1:10">
      <c r="A11">
        <v>10</v>
      </c>
      <c r="B11" t="s">
        <v>41</v>
      </c>
      <c r="C11" t="s">
        <v>204</v>
      </c>
      <c r="D11" t="s">
        <v>220</v>
      </c>
      <c r="E11" s="5">
        <v>-0.05</v>
      </c>
      <c r="F11" t="s">
        <v>221</v>
      </c>
      <c r="G11">
        <v>1</v>
      </c>
      <c r="H11">
        <v>1</v>
      </c>
      <c r="I11" t="s">
        <v>201</v>
      </c>
      <c r="J11" t="s">
        <v>201</v>
      </c>
    </row>
    <row r="12" spans="1:10">
      <c r="A12">
        <v>11</v>
      </c>
      <c r="B12" t="s">
        <v>41</v>
      </c>
      <c r="C12" t="s">
        <v>211</v>
      </c>
      <c r="D12" t="s">
        <v>222</v>
      </c>
      <c r="E12" s="5">
        <v>-0.01</v>
      </c>
      <c r="F12" t="s">
        <v>223</v>
      </c>
      <c r="G12">
        <v>1</v>
      </c>
      <c r="H12">
        <v>1</v>
      </c>
      <c r="I12" t="s">
        <v>201</v>
      </c>
      <c r="J12" t="s">
        <v>201</v>
      </c>
    </row>
    <row r="13" spans="1:10">
      <c r="A13">
        <v>12</v>
      </c>
      <c r="B13" t="s">
        <v>41</v>
      </c>
      <c r="C13" t="s">
        <v>211</v>
      </c>
      <c r="D13" t="s">
        <v>212</v>
      </c>
      <c r="E13" s="5">
        <v>-0.02</v>
      </c>
      <c r="F13" t="s">
        <v>213</v>
      </c>
      <c r="G13">
        <v>2</v>
      </c>
      <c r="H13">
        <v>1</v>
      </c>
      <c r="I13" t="s">
        <v>201</v>
      </c>
      <c r="J13" t="s">
        <v>201</v>
      </c>
    </row>
    <row r="14" spans="1:10">
      <c r="A14">
        <v>13</v>
      </c>
      <c r="B14" t="s">
        <v>41</v>
      </c>
      <c r="C14" t="s">
        <v>211</v>
      </c>
      <c r="D14" t="s">
        <v>224</v>
      </c>
      <c r="E14" s="5">
        <v>-0.03</v>
      </c>
      <c r="F14" t="s">
        <v>225</v>
      </c>
      <c r="G14">
        <v>3</v>
      </c>
      <c r="H14">
        <v>1</v>
      </c>
      <c r="I14" t="s">
        <v>201</v>
      </c>
      <c r="J14" t="s">
        <v>201</v>
      </c>
    </row>
    <row r="15" spans="1:10">
      <c r="A15">
        <v>14</v>
      </c>
      <c r="B15" t="s">
        <v>226</v>
      </c>
      <c r="C15" t="s">
        <v>198</v>
      </c>
      <c r="D15" t="s">
        <v>227</v>
      </c>
      <c r="E15" s="5">
        <v>0.15</v>
      </c>
      <c r="F15" t="s">
        <v>228</v>
      </c>
      <c r="G15">
        <v>1</v>
      </c>
      <c r="H15">
        <v>1</v>
      </c>
      <c r="I15" t="s">
        <v>201</v>
      </c>
      <c r="J15" t="s">
        <v>201</v>
      </c>
    </row>
    <row r="16" spans="1:10">
      <c r="A16">
        <v>15</v>
      </c>
      <c r="B16" t="s">
        <v>226</v>
      </c>
      <c r="C16" t="s">
        <v>198</v>
      </c>
      <c r="D16" t="s">
        <v>229</v>
      </c>
      <c r="E16" s="5">
        <v>0.3</v>
      </c>
      <c r="F16" t="s">
        <v>230</v>
      </c>
      <c r="G16">
        <v>2</v>
      </c>
      <c r="H16">
        <v>1</v>
      </c>
      <c r="I16" t="s">
        <v>201</v>
      </c>
      <c r="J16" t="s">
        <v>201</v>
      </c>
    </row>
    <row r="17" spans="1:10">
      <c r="A17">
        <v>16</v>
      </c>
      <c r="B17" t="s">
        <v>226</v>
      </c>
      <c r="C17" t="s">
        <v>204</v>
      </c>
      <c r="D17" t="s">
        <v>231</v>
      </c>
      <c r="E17" s="5">
        <v>-0.15</v>
      </c>
      <c r="F17" t="s">
        <v>206</v>
      </c>
      <c r="G17">
        <v>1</v>
      </c>
      <c r="H17">
        <v>1</v>
      </c>
      <c r="I17" t="s">
        <v>201</v>
      </c>
      <c r="J17" t="s">
        <v>201</v>
      </c>
    </row>
    <row r="18" spans="1:10">
      <c r="A18">
        <v>17</v>
      </c>
      <c r="B18" t="s">
        <v>226</v>
      </c>
      <c r="C18" t="s">
        <v>204</v>
      </c>
      <c r="D18" t="s">
        <v>232</v>
      </c>
      <c r="E18" s="5">
        <v>-0.25</v>
      </c>
      <c r="F18" t="s">
        <v>208</v>
      </c>
      <c r="G18">
        <v>2</v>
      </c>
      <c r="H18">
        <v>1</v>
      </c>
      <c r="I18" t="s">
        <v>201</v>
      </c>
      <c r="J18" t="s">
        <v>201</v>
      </c>
    </row>
    <row r="19" spans="1:10">
      <c r="A19">
        <v>18</v>
      </c>
      <c r="B19" t="s">
        <v>226</v>
      </c>
      <c r="C19" t="s">
        <v>204</v>
      </c>
      <c r="D19" t="s">
        <v>233</v>
      </c>
      <c r="E19" s="5">
        <v>-0.35</v>
      </c>
      <c r="F19" t="s">
        <v>210</v>
      </c>
      <c r="G19">
        <v>3</v>
      </c>
      <c r="H19">
        <v>1</v>
      </c>
      <c r="I19" t="s">
        <v>201</v>
      </c>
      <c r="J19" t="s">
        <v>201</v>
      </c>
    </row>
    <row r="20" spans="1:10">
      <c r="A20">
        <v>19</v>
      </c>
      <c r="B20" t="s">
        <v>226</v>
      </c>
      <c r="C20" t="s">
        <v>211</v>
      </c>
      <c r="D20" t="s">
        <v>212</v>
      </c>
      <c r="E20" s="5">
        <v>-0.02</v>
      </c>
      <c r="F20" t="s">
        <v>213</v>
      </c>
      <c r="G20">
        <v>1</v>
      </c>
      <c r="H20">
        <v>1</v>
      </c>
      <c r="I20" t="s">
        <v>201</v>
      </c>
      <c r="J20" t="s">
        <v>201</v>
      </c>
    </row>
    <row r="21" spans="1:10">
      <c r="A21">
        <v>20</v>
      </c>
      <c r="B21" t="s">
        <v>226</v>
      </c>
      <c r="C21" t="s">
        <v>211</v>
      </c>
      <c r="D21" t="s">
        <v>214</v>
      </c>
      <c r="E21" s="5">
        <v>-0.03</v>
      </c>
      <c r="F21" t="s">
        <v>215</v>
      </c>
      <c r="G21">
        <v>2</v>
      </c>
      <c r="H21">
        <v>1</v>
      </c>
      <c r="I21" t="s">
        <v>201</v>
      </c>
      <c r="J21" t="s">
        <v>201</v>
      </c>
    </row>
    <row r="22" spans="1:10">
      <c r="A22">
        <v>21</v>
      </c>
      <c r="B22" t="s">
        <v>226</v>
      </c>
      <c r="C22" t="s">
        <v>211</v>
      </c>
      <c r="D22" t="s">
        <v>216</v>
      </c>
      <c r="E22" s="5">
        <v>-0.05</v>
      </c>
      <c r="F22" t="s">
        <v>217</v>
      </c>
      <c r="G22">
        <v>3</v>
      </c>
      <c r="H22">
        <v>1</v>
      </c>
      <c r="I22" t="s">
        <v>201</v>
      </c>
      <c r="J22" t="s">
        <v>201</v>
      </c>
    </row>
    <row r="23" spans="1:10">
      <c r="A23">
        <v>22</v>
      </c>
      <c r="B23" t="s">
        <v>234</v>
      </c>
      <c r="C23" t="s">
        <v>198</v>
      </c>
      <c r="D23" t="s">
        <v>235</v>
      </c>
      <c r="E23" s="5">
        <v>0.1</v>
      </c>
      <c r="F23" t="s">
        <v>228</v>
      </c>
      <c r="G23">
        <v>1</v>
      </c>
      <c r="H23">
        <v>1</v>
      </c>
      <c r="I23" t="s">
        <v>201</v>
      </c>
      <c r="J23" t="s">
        <v>201</v>
      </c>
    </row>
    <row r="24" spans="1:10">
      <c r="A24">
        <v>23</v>
      </c>
      <c r="B24" t="s">
        <v>234</v>
      </c>
      <c r="C24" t="s">
        <v>198</v>
      </c>
      <c r="D24" t="s">
        <v>236</v>
      </c>
      <c r="E24" s="5">
        <v>0.25</v>
      </c>
      <c r="F24" t="s">
        <v>230</v>
      </c>
      <c r="G24">
        <v>2</v>
      </c>
      <c r="H24">
        <v>1</v>
      </c>
      <c r="I24" t="s">
        <v>201</v>
      </c>
      <c r="J24" t="s">
        <v>201</v>
      </c>
    </row>
    <row r="25" spans="1:10">
      <c r="A25">
        <v>24</v>
      </c>
      <c r="B25" t="s">
        <v>234</v>
      </c>
      <c r="C25" t="s">
        <v>204</v>
      </c>
      <c r="D25" t="s">
        <v>207</v>
      </c>
      <c r="E25" s="5">
        <v>-0.2</v>
      </c>
      <c r="F25" t="s">
        <v>237</v>
      </c>
      <c r="G25">
        <v>1</v>
      </c>
      <c r="H25">
        <v>1</v>
      </c>
      <c r="I25" t="s">
        <v>201</v>
      </c>
      <c r="J25" t="s">
        <v>201</v>
      </c>
    </row>
    <row r="26" spans="1:10">
      <c r="A26">
        <v>25</v>
      </c>
      <c r="B26" t="s">
        <v>234</v>
      </c>
      <c r="C26" t="s">
        <v>204</v>
      </c>
      <c r="D26" t="s">
        <v>209</v>
      </c>
      <c r="E26" s="5">
        <v>-0.3</v>
      </c>
      <c r="F26" t="s">
        <v>208</v>
      </c>
      <c r="G26">
        <v>2</v>
      </c>
      <c r="H26">
        <v>1</v>
      </c>
      <c r="I26" t="s">
        <v>201</v>
      </c>
      <c r="J26" t="s">
        <v>201</v>
      </c>
    </row>
    <row r="27" spans="1:10">
      <c r="A27">
        <v>26</v>
      </c>
      <c r="B27" t="s">
        <v>234</v>
      </c>
      <c r="C27" t="s">
        <v>204</v>
      </c>
      <c r="D27" t="s">
        <v>238</v>
      </c>
      <c r="E27" s="5">
        <v>-0.4</v>
      </c>
      <c r="F27" t="s">
        <v>210</v>
      </c>
      <c r="G27">
        <v>3</v>
      </c>
      <c r="H27">
        <v>1</v>
      </c>
      <c r="I27" t="s">
        <v>201</v>
      </c>
      <c r="J27" t="s">
        <v>201</v>
      </c>
    </row>
    <row r="28" spans="1:10">
      <c r="A28">
        <v>27</v>
      </c>
      <c r="B28" t="s">
        <v>234</v>
      </c>
      <c r="C28" t="s">
        <v>211</v>
      </c>
      <c r="D28" t="s">
        <v>212</v>
      </c>
      <c r="E28" s="5">
        <v>-0.02</v>
      </c>
      <c r="F28" t="s">
        <v>213</v>
      </c>
      <c r="G28">
        <v>1</v>
      </c>
      <c r="H28">
        <v>1</v>
      </c>
      <c r="I28" t="s">
        <v>201</v>
      </c>
      <c r="J28" t="s">
        <v>201</v>
      </c>
    </row>
    <row r="29" spans="1:10">
      <c r="A29">
        <v>28</v>
      </c>
      <c r="B29" t="s">
        <v>234</v>
      </c>
      <c r="C29" t="s">
        <v>211</v>
      </c>
      <c r="D29" t="s">
        <v>214</v>
      </c>
      <c r="E29" s="5">
        <v>-0.03</v>
      </c>
      <c r="F29" t="s">
        <v>215</v>
      </c>
      <c r="G29">
        <v>2</v>
      </c>
      <c r="H29">
        <v>1</v>
      </c>
      <c r="I29" t="s">
        <v>201</v>
      </c>
      <c r="J29" t="s">
        <v>201</v>
      </c>
    </row>
    <row r="30" spans="1:10">
      <c r="A30">
        <v>29</v>
      </c>
      <c r="B30" t="s">
        <v>234</v>
      </c>
      <c r="C30" t="s">
        <v>211</v>
      </c>
      <c r="D30" t="s">
        <v>216</v>
      </c>
      <c r="E30" s="5">
        <v>-0.05</v>
      </c>
      <c r="F30" t="s">
        <v>217</v>
      </c>
      <c r="G30">
        <v>3</v>
      </c>
      <c r="H30">
        <v>1</v>
      </c>
      <c r="I30" t="s">
        <v>201</v>
      </c>
      <c r="J30" t="s">
        <v>201</v>
      </c>
    </row>
    <row r="31" spans="1:10">
      <c r="A31">
        <v>30</v>
      </c>
      <c r="B31" t="s">
        <v>239</v>
      </c>
      <c r="C31" t="s">
        <v>240</v>
      </c>
      <c r="D31" t="s">
        <v>241</v>
      </c>
      <c r="E31" s="5">
        <v>0.2</v>
      </c>
      <c r="F31" t="s">
        <v>242</v>
      </c>
      <c r="G31">
        <v>0</v>
      </c>
      <c r="H31">
        <v>1</v>
      </c>
      <c r="I31" t="s">
        <v>201</v>
      </c>
      <c r="J31" t="s">
        <v>201</v>
      </c>
    </row>
    <row r="32" spans="1:10">
      <c r="A32">
        <v>31</v>
      </c>
      <c r="B32" t="s">
        <v>239</v>
      </c>
      <c r="C32" t="s">
        <v>240</v>
      </c>
      <c r="D32" t="s">
        <v>243</v>
      </c>
      <c r="E32" s="5">
        <v>0</v>
      </c>
      <c r="F32" t="s">
        <v>244</v>
      </c>
      <c r="G32">
        <v>0</v>
      </c>
      <c r="H32">
        <v>1</v>
      </c>
      <c r="I32" t="s">
        <v>201</v>
      </c>
      <c r="J32" t="s">
        <v>201</v>
      </c>
    </row>
    <row r="33" spans="1:10">
      <c r="A33">
        <v>32</v>
      </c>
      <c r="B33" t="s">
        <v>239</v>
      </c>
      <c r="C33" t="s">
        <v>240</v>
      </c>
      <c r="D33" t="s">
        <v>245</v>
      </c>
      <c r="E33" s="5">
        <v>0</v>
      </c>
      <c r="F33" t="s">
        <v>246</v>
      </c>
      <c r="G33">
        <v>0</v>
      </c>
      <c r="H33">
        <v>1</v>
      </c>
      <c r="I33" t="s">
        <v>201</v>
      </c>
      <c r="J33" t="s">
        <v>201</v>
      </c>
    </row>
    <row r="34" spans="1:10">
      <c r="A34">
        <v>33</v>
      </c>
      <c r="B34" t="s">
        <v>239</v>
      </c>
      <c r="C34" t="s">
        <v>240</v>
      </c>
      <c r="D34" t="s">
        <v>247</v>
      </c>
      <c r="E34" s="5">
        <v>0</v>
      </c>
      <c r="F34" t="s">
        <v>248</v>
      </c>
      <c r="G34">
        <v>0</v>
      </c>
      <c r="H34">
        <v>1</v>
      </c>
      <c r="I34" t="s">
        <v>201</v>
      </c>
      <c r="J34" t="s">
        <v>201</v>
      </c>
    </row>
    <row r="37" spans="1:10">
      <c r="C37" s="6" t="s">
        <v>249</v>
      </c>
    </row>
    <row r="38" spans="1:10">
      <c r="C38" s="7" t="s">
        <v>250</v>
      </c>
    </row>
    <row r="39" spans="1:10">
      <c r="C39" s="7" t="s">
        <v>251</v>
      </c>
    </row>
    <row r="40" spans="1:10">
      <c r="C40" s="7" t="s">
        <v>252</v>
      </c>
    </row>
    <row r="41" spans="1:10">
      <c r="C41" s="7" t="s">
        <v>253</v>
      </c>
    </row>
    <row r="43" spans="1:10">
      <c r="C43" s="8" t="s">
        <v>254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workbookViewId="0">
      <selection activeCell="J18" sqref="A1:J18"/>
    </sheetView>
  </sheetViews>
  <sheetFormatPr defaultColWidth="9" defaultRowHeight="14"/>
  <cols>
    <col min="1" max="1" width="18" customWidth="1"/>
    <col min="2" max="2" width="20" customWidth="1"/>
    <col min="3" max="3" width="29.9090909090909" customWidth="1"/>
    <col min="4" max="7" width="22" customWidth="1"/>
    <col min="8" max="8" width="18.4545454545455" customWidth="1"/>
    <col min="9" max="9" width="16" customWidth="1"/>
    <col min="10" max="10" width="22" customWidth="1"/>
  </cols>
  <sheetData>
    <row r="1" ht="28" customHeight="1" spans="1:10">
      <c r="A1" s="1" t="s">
        <v>255</v>
      </c>
      <c r="B1" s="1" t="s">
        <v>0</v>
      </c>
      <c r="C1" s="1" t="s">
        <v>1</v>
      </c>
      <c r="D1" s="1" t="s">
        <v>256</v>
      </c>
      <c r="E1" s="1" t="s">
        <v>257</v>
      </c>
      <c r="F1" s="1" t="s">
        <v>258</v>
      </c>
      <c r="G1" s="1" t="s">
        <v>259</v>
      </c>
      <c r="H1" s="1" t="s">
        <v>260</v>
      </c>
      <c r="I1" s="1" t="s">
        <v>261</v>
      </c>
      <c r="J1" s="1" t="s">
        <v>10</v>
      </c>
    </row>
    <row r="2" spans="1:10">
      <c r="A2" s="2">
        <v>1</v>
      </c>
      <c r="B2" s="3" t="s">
        <v>147</v>
      </c>
      <c r="C2" s="3" t="s">
        <v>262</v>
      </c>
      <c r="D2" s="4"/>
      <c r="E2" s="3"/>
      <c r="F2" s="3"/>
      <c r="G2" s="3"/>
      <c r="H2" s="3"/>
      <c r="I2" s="3" t="s">
        <v>17</v>
      </c>
      <c r="J2" s="3" t="s">
        <v>263</v>
      </c>
    </row>
    <row r="3" spans="1:10">
      <c r="A3" s="2">
        <v>2</v>
      </c>
      <c r="B3" s="3" t="s">
        <v>148</v>
      </c>
      <c r="C3" s="3" t="s">
        <v>264</v>
      </c>
      <c r="D3" s="3"/>
      <c r="E3" s="3"/>
      <c r="F3" s="3"/>
      <c r="G3" s="3"/>
      <c r="H3" s="3"/>
      <c r="I3" s="3" t="s">
        <v>17</v>
      </c>
      <c r="J3" s="3" t="s">
        <v>263</v>
      </c>
    </row>
    <row r="4" spans="1:10">
      <c r="A4" s="2">
        <v>3</v>
      </c>
      <c r="B4" s="3" t="s">
        <v>149</v>
      </c>
      <c r="C4" s="3" t="s">
        <v>265</v>
      </c>
      <c r="D4" s="3"/>
      <c r="E4" s="3"/>
      <c r="F4" s="3"/>
      <c r="G4" s="3"/>
      <c r="H4" s="3"/>
      <c r="I4" s="3" t="s">
        <v>17</v>
      </c>
      <c r="J4" s="3" t="s">
        <v>263</v>
      </c>
    </row>
    <row r="5" spans="1:10">
      <c r="A5" s="2">
        <v>4</v>
      </c>
      <c r="B5" s="3" t="s">
        <v>146</v>
      </c>
      <c r="C5" s="3" t="s">
        <v>266</v>
      </c>
      <c r="D5" s="3"/>
      <c r="E5" s="3"/>
      <c r="F5" s="3"/>
      <c r="G5" s="3"/>
      <c r="H5" s="3"/>
      <c r="I5" s="3" t="s">
        <v>17</v>
      </c>
      <c r="J5" s="3" t="s">
        <v>263</v>
      </c>
    </row>
    <row r="6" spans="1:10">
      <c r="A6" s="2">
        <v>5</v>
      </c>
      <c r="B6" s="3" t="s">
        <v>145</v>
      </c>
      <c r="C6" s="3" t="s">
        <v>267</v>
      </c>
      <c r="D6" s="3"/>
      <c r="E6" s="3"/>
      <c r="F6" s="3"/>
      <c r="G6" s="3"/>
      <c r="H6" s="3"/>
      <c r="I6" s="3" t="s">
        <v>17</v>
      </c>
      <c r="J6" s="3" t="s">
        <v>263</v>
      </c>
    </row>
    <row r="7" spans="1:10">
      <c r="A7" s="2">
        <v>6</v>
      </c>
      <c r="B7" s="3" t="s">
        <v>150</v>
      </c>
      <c r="C7" s="3" t="s">
        <v>268</v>
      </c>
      <c r="D7" s="3"/>
      <c r="E7" s="3"/>
      <c r="F7" s="3"/>
      <c r="G7" s="3"/>
      <c r="H7" s="3"/>
      <c r="I7" s="3" t="s">
        <v>17</v>
      </c>
      <c r="J7" s="3" t="s">
        <v>263</v>
      </c>
    </row>
    <row r="8" spans="1:10">
      <c r="A8" s="3">
        <v>7</v>
      </c>
      <c r="B8" s="3" t="s">
        <v>135</v>
      </c>
      <c r="C8" s="3" t="s">
        <v>26</v>
      </c>
      <c r="D8" s="3"/>
      <c r="E8" s="3"/>
      <c r="F8" s="3"/>
      <c r="G8" s="3"/>
      <c r="H8" s="3"/>
      <c r="I8" s="3" t="s">
        <v>17</v>
      </c>
      <c r="J8" s="3" t="s">
        <v>263</v>
      </c>
    </row>
    <row r="9" spans="1:10">
      <c r="A9" s="3">
        <v>8</v>
      </c>
      <c r="B9" s="3" t="s">
        <v>141</v>
      </c>
      <c r="C9" s="3" t="s">
        <v>75</v>
      </c>
      <c r="D9" s="3"/>
      <c r="E9" s="3"/>
      <c r="F9" s="3"/>
      <c r="G9" s="3"/>
      <c r="H9" s="3"/>
      <c r="I9" s="3" t="s">
        <v>17</v>
      </c>
      <c r="J9" s="3" t="s">
        <v>263</v>
      </c>
    </row>
    <row r="10" spans="1:10">
      <c r="A10" s="3">
        <v>9</v>
      </c>
      <c r="B10" s="3" t="s">
        <v>142</v>
      </c>
      <c r="C10" s="3" t="s">
        <v>83</v>
      </c>
      <c r="D10" s="3"/>
      <c r="E10" s="3"/>
      <c r="F10" s="3"/>
      <c r="G10" s="3"/>
      <c r="H10" s="3"/>
      <c r="I10" s="3" t="s">
        <v>17</v>
      </c>
      <c r="J10" s="3" t="s">
        <v>263</v>
      </c>
    </row>
    <row r="11" spans="1:10">
      <c r="A11" s="3">
        <v>10</v>
      </c>
      <c r="B11" s="3" t="s">
        <v>144</v>
      </c>
      <c r="C11" s="3" t="s">
        <v>93</v>
      </c>
      <c r="D11" s="3"/>
      <c r="E11" s="3"/>
      <c r="F11" s="3"/>
      <c r="G11" s="3"/>
      <c r="H11" s="3"/>
      <c r="I11" s="3" t="s">
        <v>17</v>
      </c>
      <c r="J11" s="3" t="s">
        <v>263</v>
      </c>
    </row>
    <row r="12" spans="1:10">
      <c r="A12" s="3">
        <v>11</v>
      </c>
      <c r="B12" s="3" t="s">
        <v>140</v>
      </c>
      <c r="C12" s="3" t="s">
        <v>67</v>
      </c>
      <c r="D12" s="3"/>
      <c r="E12" s="3"/>
      <c r="F12" s="3"/>
      <c r="G12" s="3"/>
      <c r="H12" s="3"/>
      <c r="I12" s="3" t="s">
        <v>17</v>
      </c>
      <c r="J12" s="3" t="s">
        <v>263</v>
      </c>
    </row>
    <row r="13" spans="1:10">
      <c r="A13" s="3">
        <v>12</v>
      </c>
      <c r="B13" s="3" t="s">
        <v>139</v>
      </c>
      <c r="C13" s="3" t="s">
        <v>61</v>
      </c>
      <c r="D13" s="3"/>
      <c r="E13" s="3"/>
      <c r="F13" s="3"/>
      <c r="G13" s="3"/>
      <c r="H13" s="3"/>
      <c r="I13" s="3" t="s">
        <v>17</v>
      </c>
      <c r="J13" s="3" t="s">
        <v>263</v>
      </c>
    </row>
    <row r="14" spans="1:10">
      <c r="A14" s="3">
        <v>13</v>
      </c>
      <c r="B14" s="3" t="s">
        <v>137</v>
      </c>
      <c r="C14" s="3" t="s">
        <v>48</v>
      </c>
      <c r="D14" s="3"/>
      <c r="E14" s="3"/>
      <c r="F14" s="3"/>
      <c r="G14" s="3"/>
      <c r="H14" s="3"/>
      <c r="I14" s="3" t="s">
        <v>17</v>
      </c>
      <c r="J14" s="3" t="s">
        <v>263</v>
      </c>
    </row>
    <row r="15" spans="1:10">
      <c r="A15" s="3">
        <v>14</v>
      </c>
      <c r="B15" s="3" t="s">
        <v>136</v>
      </c>
      <c r="C15" s="3" t="s">
        <v>38</v>
      </c>
      <c r="D15" s="3"/>
      <c r="E15" s="3"/>
      <c r="F15" s="3"/>
      <c r="G15" s="3"/>
      <c r="H15" s="3"/>
      <c r="I15" s="3" t="s">
        <v>17</v>
      </c>
      <c r="J15" s="3" t="s">
        <v>263</v>
      </c>
    </row>
    <row r="16" spans="1:10">
      <c r="A16" s="3">
        <v>15</v>
      </c>
      <c r="B16" s="3" t="s">
        <v>138</v>
      </c>
      <c r="C16" s="3" t="s">
        <v>55</v>
      </c>
      <c r="D16" s="3"/>
      <c r="E16" s="3"/>
      <c r="F16" s="3"/>
      <c r="G16" s="3"/>
      <c r="H16" s="3"/>
      <c r="I16" s="3" t="s">
        <v>17</v>
      </c>
      <c r="J16" s="3" t="s">
        <v>263</v>
      </c>
    </row>
    <row r="17" spans="1:10">
      <c r="A17" s="3">
        <v>16</v>
      </c>
      <c r="B17" s="3" t="s">
        <v>143</v>
      </c>
      <c r="C17" s="3" t="s">
        <v>87</v>
      </c>
      <c r="D17" s="3"/>
      <c r="E17" s="3"/>
      <c r="F17" s="3"/>
      <c r="G17" s="3"/>
      <c r="H17" s="3"/>
      <c r="I17" s="3" t="s">
        <v>17</v>
      </c>
      <c r="J17" s="3" t="s">
        <v>263</v>
      </c>
    </row>
    <row r="18" spans="1:10">
      <c r="A18" s="3">
        <v>17</v>
      </c>
      <c r="B18" s="3" t="s">
        <v>134</v>
      </c>
      <c r="C18" s="3" t="s">
        <v>14</v>
      </c>
      <c r="D18" s="3"/>
      <c r="E18" s="3"/>
      <c r="F18" s="3"/>
      <c r="G18" s="3"/>
      <c r="H18" s="3"/>
      <c r="I18" s="3" t="s">
        <v>17</v>
      </c>
      <c r="J18" s="3" t="s">
        <v>263</v>
      </c>
    </row>
    <row r="27" spans="1:10">
      <c r="B27" t="s">
        <v>269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"/>
  <sheetViews>
    <sheetView tabSelected="1" topLeftCell="H1" workbookViewId="0">
      <selection activeCell="J21" sqref="J21"/>
    </sheetView>
  </sheetViews>
  <sheetFormatPr defaultColWidth="9" defaultRowHeight="14"/>
  <cols>
    <col min="1" max="3" width="20" customWidth="1"/>
    <col min="4" max="6" width="24" customWidth="1"/>
    <col min="7" max="7" width="30" customWidth="1"/>
    <col min="8" max="8" width="28" customWidth="1"/>
    <col min="9" max="9" width="30" customWidth="1"/>
    <col min="10" max="10" width="24" customWidth="1"/>
    <col min="11" max="11" width="20" customWidth="1"/>
    <col min="12" max="12" width="28" customWidth="1"/>
    <col min="13" max="14" width="14" customWidth="1"/>
    <col min="15" max="15" width="10.7272727272727" customWidth="1"/>
    <col min="16" max="16" width="8" customWidth="1"/>
    <col min="17" max="17" width="10" customWidth="1"/>
    <col min="18" max="18" width="22" customWidth="1"/>
  </cols>
  <sheetData>
    <row r="1" ht="42" customHeight="1" spans="1:18">
      <c r="A1" s="1" t="s">
        <v>270</v>
      </c>
      <c r="B1" s="1" t="s">
        <v>0</v>
      </c>
      <c r="C1" s="1" t="s">
        <v>1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  <c r="K1" s="1" t="s">
        <v>278</v>
      </c>
      <c r="L1" s="1" t="s">
        <v>279</v>
      </c>
      <c r="M1" s="1" t="s">
        <v>280</v>
      </c>
      <c r="N1" s="1" t="s">
        <v>281</v>
      </c>
      <c r="O1" s="1" t="s">
        <v>282</v>
      </c>
      <c r="P1" s="1" t="s">
        <v>283</v>
      </c>
      <c r="Q1" s="1" t="s">
        <v>284</v>
      </c>
      <c r="R1" s="1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fund_info(基金基本信息表)</vt:lpstr>
      <vt:lpstr>fund_holdings(持仓管理表)</vt:lpstr>
      <vt:lpstr>trading_rules(交易规则配置表)</vt:lpstr>
      <vt:lpstr>daily_quotes(每日净值表)</vt:lpstr>
      <vt:lpstr>trade_records(交易记录表)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刘xiangy</cp:lastModifiedBy>
  <dcterms:created xsi:type="dcterms:W3CDTF">2026-03-06T09:07:00Z</dcterms:created>
  <dcterms:modified xsi:type="dcterms:W3CDTF">2026-03-09T07:33:13Z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981D88399B7A4DA19970549434D14C13_12</vt:lpwstr>
  </property>
  <property fmtid="{D5CDD505-2E9C-101B-9397-08002B2CF9AE}" pid="4" name="KSOProductBuildVer">
    <vt:lpwstr>2052-12.1.0.24657</vt:lpwstr>
  </property>
  <property fmtid="{D5CDD505-2E9C-101B-9397-08002B2CF9AE}" pid="5" name="CalculationRule">
    <vt:i4>0</vt:i4>
  </property>
</Properties>
</file>