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904" activeTab="1"/>
  </bookViews>
  <sheets>
    <sheet name="fund_info(基金基本信息表)" sheetId="3" r:id="rId1"/>
    <sheet name="fund_holdings(持仓管理表)" sheetId="4" r:id="rId2"/>
    <sheet name="dca_plans(定投计划表)" sheetId="2" r:id="rId3"/>
    <sheet name="trading_rules(交易规则配置表)" sheetId="6" r:id="rId4"/>
    <sheet name="daily_quotes(每日净值表)" sheetId="1" r:id="rId5"/>
    <sheet name="trade_signals(交易信号表)" sheetId="5" r:id="rId6"/>
    <sheet name="transactions(交易记录表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<sst xmlns="http://schemas.openxmlformats.org/spreadsheetml/2006/main" count="678" uniqueCount="232">
  <si>
    <t>fund_code
基金代码</t>
  </si>
  <si>
    <t>fund_name
基金名称</t>
  </si>
  <si>
    <t>fund_company
基金公司</t>
  </si>
  <si>
    <t>fund_type
基金类型</t>
  </si>
  <si>
    <t>tracking_index
跟踪指数</t>
  </si>
  <si>
    <t>risk_level
风险等级</t>
  </si>
  <si>
    <t>fund_category
基金分类</t>
  </si>
  <si>
    <t>top_holdings
前十大持仓</t>
  </si>
  <si>
    <t>risk_points
风险提示要点</t>
  </si>
  <si>
    <t>return_1y
近1年收益率</t>
  </si>
  <si>
    <t>return_3y
近3年收益率</t>
  </si>
  <si>
    <t>return_since_inception
成立以来收益率</t>
  </si>
  <si>
    <t>created_at
创建时间</t>
  </si>
  <si>
    <t>updated_at
更新时间</t>
  </si>
  <si>
    <t>易方达国证机器人产业ETF</t>
  </si>
  <si>
    <t>易方达基金</t>
  </si>
  <si>
    <t>ETF</t>
  </si>
  <si>
    <t>国证机器人产业指数</t>
  </si>
  <si>
    <t>中高风险</t>
  </si>
  <si>
    <t>机器人</t>
  </si>
  <si>
    <t>绿的谐波5.59%,双环传动5.30%,机器人4.70%,石头科技4.53%,科沃斯3.69%,三花智控3.28%,拓普集团3.15%,鸣志电器3.13%,领益智造2.88%,科大讯飞2.86%</t>
  </si>
  <si>
    <t>机器人产业波动大,技术迭代风险,集中度高</t>
  </si>
  <si>
    <t>+23.11%</t>
  </si>
  <si>
    <t>-</t>
  </si>
  <si>
    <t>+60.15%</t>
  </si>
  <si>
    <t>2026-03-05 20:38:14</t>
  </si>
  <si>
    <t>2026-03-05 20:45:43</t>
  </si>
  <si>
    <t>天弘中证机器人ETF</t>
  </si>
  <si>
    <t>天弘基金</t>
  </si>
  <si>
    <t>中证机器人指数</t>
  </si>
  <si>
    <t>科大讯飞9.75%,汇川技术9.73%,拓普集团7.93%,大华股份4.41%,大族激光4.01%,双环传动3.81%,石头科技3.73%,中控技术3.69%,绿的谐波2.92%,机器人2.69%</t>
  </si>
  <si>
    <t>机器人产业波动大,技术迭代风险</t>
  </si>
  <si>
    <t>+21.36%</t>
  </si>
  <si>
    <t>+11.94%</t>
  </si>
  <si>
    <t>易方达中证科创创业50ETF</t>
  </si>
  <si>
    <t>科创创业50指数</t>
  </si>
  <si>
    <t>科创</t>
  </si>
  <si>
    <t>中际旭创10.73%,新易盛10.16%,宁德时代9.38%,寒武纪6.79%,阳光电源5.89%,中芯国际5.83%,海光信息4.95%,胜宏科技4.16%,汇川技术3.38%,澜起科技3.20%</t>
  </si>
  <si>
    <t>科创板估值高,波动剧烈,技术封锁风险</t>
  </si>
  <si>
    <t>+54.94%</t>
  </si>
  <si>
    <t>-5.67%</t>
  </si>
  <si>
    <t>天弘国证航天航空行业ETF</t>
  </si>
  <si>
    <t>国证航天指数</t>
  </si>
  <si>
    <t>航空航天</t>
  </si>
  <si>
    <t>光启技术9.20%,中国卫星6.78%,航天电子6.51%,航发动力6.51%,中航沈飞5.93%,航天发展5.00%,中航西飞3.89%,中航机载3.61%,上海瀚讯2.65%,中航成飞2.60%</t>
  </si>
  <si>
    <t>军工板块政策依赖,地缘政治敏感</t>
  </si>
  <si>
    <t>+60%</t>
  </si>
  <si>
    <t>华夏国证航天航空行业ETF</t>
  </si>
  <si>
    <t>华夏基金</t>
  </si>
  <si>
    <t>光启技术9.12%,中国卫星6.71%,航天电子6.47%,航发动力6.51%,中航沈飞5.93%,航天发展5.00%,中航西飞3.89%,中航机载3.61%,上海瀚讯2.65%,中航成飞2.60%</t>
  </si>
  <si>
    <t>+47.66%</t>
  </si>
  <si>
    <t/>
  </si>
  <si>
    <t>富国中证港股通互联网ETF</t>
  </si>
  <si>
    <t>富国基金</t>
  </si>
  <si>
    <t>中证港股通互联网指数</t>
  </si>
  <si>
    <t>互联网</t>
  </si>
  <si>
    <t>腾讯控股15.37%,阿里巴巴-W14.46%,小米集团-W13.99%,美团-W12.32%,商汤-W4.09%,快手-W3.78%,贝壳-W3.74%,京东健康3.72%,哔哩哔哩-W3.30%,金蝶国际-</t>
  </si>
  <si>
    <t>港股汇率风险,监管政策风险,流动性风险</t>
  </si>
  <si>
    <t>-27.24%</t>
  </si>
  <si>
    <t>天弘上海金ETF联接C</t>
  </si>
  <si>
    <t>联接基金</t>
  </si>
  <si>
    <t>上海金(SHAU)</t>
  </si>
  <si>
    <t>黄金</t>
  </si>
  <si>
    <t>主要投资于目标ETF(天弘上海金ETF),间接跟踪上海金价格</t>
  </si>
  <si>
    <t>国际金价波动风险,汇率风险</t>
  </si>
  <si>
    <t>+65.35%</t>
  </si>
  <si>
    <t>+148.75%</t>
  </si>
  <si>
    <t>+155.87%</t>
  </si>
  <si>
    <t>建信上海金ETF联接C</t>
  </si>
  <si>
    <t>建信基金</t>
  </si>
  <si>
    <t>主要投资于目标ETF(建信上海金ETF),间接跟踪上海金价格</t>
  </si>
  <si>
    <t>+74.38%</t>
  </si>
  <si>
    <t>+172.87%</t>
  </si>
  <si>
    <t>+173.03%</t>
  </si>
  <si>
    <t>华夏黄金ETF联接C</t>
  </si>
  <si>
    <t>黄金9999</t>
  </si>
  <si>
    <t>主要投资于目标ETF(华夏黄金ETF),间接跟踪黄金9999价格</t>
  </si>
  <si>
    <t>+75.04%</t>
  </si>
  <si>
    <t>+122.66%</t>
  </si>
  <si>
    <t>+159.31%</t>
  </si>
  <si>
    <t>富国上海金ETF联接C</t>
  </si>
  <si>
    <t>主要投资于目标ETF(富国上海金ETF),间接跟踪上海金价格</t>
  </si>
  <si>
    <t>+67.15%</t>
  </si>
  <si>
    <t>+156.27%</t>
  </si>
  <si>
    <t>+140.66%</t>
  </si>
  <si>
    <t>工银瑞信黄金ETF联接E</t>
  </si>
  <si>
    <t>工银瑞信基金</t>
  </si>
  <si>
    <t>主要投资于目标ETF(工银黄金ETF),间接跟踪黄金9999价格</t>
  </si>
  <si>
    <t>国际金价波动风险,汇率风险,成立时间短</t>
  </si>
  <si>
    <t>+67.85%</t>
  </si>
  <si>
    <t>+129.85%</t>
  </si>
  <si>
    <t>广发中证军工ETF联接C</t>
  </si>
  <si>
    <t>广发基金</t>
  </si>
  <si>
    <t>中证军工指数</t>
  </si>
  <si>
    <t>军工</t>
  </si>
  <si>
    <t>主要投资于广发中证军工ETF,重仓股包括中国船舶、光启技术、航天电子等军工股</t>
  </si>
  <si>
    <t>军工板块政策依赖,地缘政治敏感,订单波动风险</t>
  </si>
  <si>
    <t>+40.63%</t>
  </si>
  <si>
    <t>+29.38%</t>
  </si>
  <si>
    <t>+99.75%</t>
  </si>
  <si>
    <t>嘉实上证科创板芯片ETF联接C</t>
  </si>
  <si>
    <t>嘉实基金</t>
  </si>
  <si>
    <t>上证科创板芯片指数</t>
  </si>
  <si>
    <t>芯片</t>
  </si>
  <si>
    <t>主要投资于科创芯片ETF,重仓股包括中芯国际10.36%,海光信息10.05%,寒武纪9.45%,澜起科技7.73%等</t>
  </si>
  <si>
    <t>科创板估值高,芯片技术封锁风险,波动剧烈</t>
  </si>
  <si>
    <t>+107.37%</t>
  </si>
  <si>
    <t>+106.87%</t>
  </si>
  <si>
    <t>华夏中证机器人ETF联接C</t>
  </si>
  <si>
    <t>主要投资于华夏中证机器人ETF,重仓股包括科大讯飞、汇川技术等</t>
  </si>
  <si>
    <t>机器人产业波动大,技术迭代风险,联接基金双重收费</t>
  </si>
  <si>
    <t>+5.13%</t>
  </si>
  <si>
    <t>+29.84%</t>
  </si>
  <si>
    <t>招商中证机器人ETF联接C</t>
  </si>
  <si>
    <t>招商基金</t>
  </si>
  <si>
    <t>主要投资于招商中证机器人ETF,重仓股包括科大讯飞9.76%,汇川技术9.71%,拓普集团7.91%等</t>
  </si>
  <si>
    <t>机器人产业波动大,技术迭代风险,联接基金双重收费,成立时间短</t>
  </si>
  <si>
    <t>+7.45%</t>
  </si>
  <si>
    <t>+62.35%</t>
  </si>
  <si>
    <t>天弘中证机器人ETF联接C</t>
  </si>
  <si>
    <t>主要投资于天弘中证机器人ETF,重仓股包括科大讯飞9.76%,汇川技术9.71%,拓普集团7.91%等</t>
  </si>
  <si>
    <t>+11.39%</t>
  </si>
  <si>
    <t>+24.90%</t>
  </si>
  <si>
    <t>广发天天红货币B</t>
  </si>
  <si>
    <t>广发基金管理有限公司</t>
  </si>
  <si>
    <t>货币型</t>
  </si>
  <si>
    <t>低风险</t>
  </si>
  <si>
    <t>货币基金</t>
  </si>
  <si>
    <t>22国开14(1.26%)、24建设银行CD104(1.02%)、23国开14(0.67%)、24民生银行CD230(0.66%)、24民生银行CD306(0.58%)</t>
  </si>
  <si>
    <t>低风险，流动性强</t>
  </si>
  <si>
    <t>1.43%</t>
  </si>
  <si>
    <t>5.52%</t>
  </si>
  <si>
    <t>29.77%</t>
  </si>
  <si>
    <t>2026-03-05 21:14:27</t>
  </si>
  <si>
    <t>holding_id
持仓记录ID</t>
  </si>
  <si>
    <t>platform
持仓平台</t>
  </si>
  <si>
    <t>holding_shares
持有份额</t>
  </si>
  <si>
    <t>avg_buy_price
平均买入价</t>
  </si>
  <si>
    <t>base_shares
底仓份额</t>
  </si>
  <si>
    <t>tradable_shares
可交易份额</t>
  </si>
  <si>
    <t>current_price
当前价格</t>
  </si>
  <si>
    <t>holding_value
持仓总值</t>
  </si>
  <si>
    <t>invested_capital
累计投入金额</t>
  </si>
  <si>
    <t>profit_loss_amount
盈亏金额</t>
  </si>
  <si>
    <t>return_rate
收益率</t>
  </si>
  <si>
    <t>first_buy_date
首次买入日期</t>
  </si>
  <si>
    <t>last_update_date
最后更新日期</t>
  </si>
  <si>
    <t>涨乐财富通</t>
  </si>
  <si>
    <t>2026-03-05 22:43:52</t>
  </si>
  <si>
    <t>支付宝</t>
  </si>
  <si>
    <t>plan_id
计划ID</t>
  </si>
  <si>
    <t>platform
定投平台</t>
  </si>
  <si>
    <t>is_active
是否启用</t>
  </si>
  <si>
    <t>frequency
定投频率</t>
  </si>
  <si>
    <t>amount
每期金额</t>
  </si>
  <si>
    <t>dca_type
定投类型</t>
  </si>
  <si>
    <t>total_invested
累计已投金额</t>
  </si>
  <si>
    <t>start_date
开始日期</t>
  </si>
  <si>
    <t>next_execute_date
下次执行日期</t>
  </si>
  <si>
    <t>每天定投100</t>
  </si>
  <si>
    <t>固定金额</t>
  </si>
  <si>
    <t>9999-12-31</t>
  </si>
  <si>
    <t>每周二智能定投100-400不等</t>
  </si>
  <si>
    <t>智能定投</t>
  </si>
  <si>
    <t>每周五定投200</t>
  </si>
  <si>
    <t>每周四定投200</t>
  </si>
  <si>
    <t>每周三定投200</t>
  </si>
  <si>
    <t>每周二定投200</t>
  </si>
  <si>
    <t>每周一定投200</t>
  </si>
  <si>
    <t>rule_id
规则ID</t>
  </si>
  <si>
    <t>rule_type
规则类型</t>
  </si>
  <si>
    <t>condition_desc
触发条件</t>
  </si>
  <si>
    <t>threshold
阈值</t>
  </si>
  <si>
    <t>action_desc
操作描述</t>
  </si>
  <si>
    <t>priority
优先级</t>
  </si>
  <si>
    <t>止盈</t>
  </si>
  <si>
    <t>从60日低点涨≥30% 或 单月涨≥15%</t>
  </si>
  <si>
    <t>卖出一半（两条件不叠加）</t>
  </si>
  <si>
    <t>从60日低点涨≥50%</t>
  </si>
  <si>
    <t>再卖剩余的一半，保留1/5底仓</t>
  </si>
  <si>
    <t>涨≥10%</t>
  </si>
  <si>
    <t>减仓1/3，保留1/5底仓</t>
  </si>
  <si>
    <t>接回</t>
  </si>
  <si>
    <t>从卖出价回落10%</t>
  </si>
  <si>
    <t>买回卖出量的1/3</t>
  </si>
  <si>
    <t>从卖出价回落20%</t>
  </si>
  <si>
    <t>再买回卖出量的1/3</t>
  </si>
  <si>
    <t>从卖出价回落30%</t>
  </si>
  <si>
    <t>买回剩余，恢复原仓位</t>
  </si>
  <si>
    <t>从卖出价回落5%-8%</t>
  </si>
  <si>
    <t>分4周定投买回，每周买回减仓量的1/4</t>
  </si>
  <si>
    <t>加仓</t>
  </si>
  <si>
    <t>当日跌2%-3%</t>
  </si>
  <si>
    <t>+100元（军工/芯片任选）</t>
  </si>
  <si>
    <t>当日跌3%-5%</t>
  </si>
  <si>
    <t>+200元（军工/芯片任选）</t>
  </si>
  <si>
    <t>当日跌&gt;5%</t>
  </si>
  <si>
    <t>+300元（军工/芯片任选）</t>
  </si>
  <si>
    <t>全部</t>
  </si>
  <si>
    <t>纪律</t>
  </si>
  <si>
    <t>任何时候保留1/5仓位不卖</t>
  </si>
  <si>
    <t>底仓不动</t>
  </si>
  <si>
    <t>定投永不停止</t>
  </si>
  <si>
    <t>无论涨跌，定投继续</t>
  </si>
  <si>
    <t>大涨当天不额外买入</t>
  </si>
  <si>
    <t>不追涨</t>
  </si>
  <si>
    <t>quote_id
记录ID</t>
  </si>
  <si>
    <t>quote_date
净值日期</t>
  </si>
  <si>
    <t>nav
单位净值</t>
  </si>
  <si>
    <t>acc_nav
累计净值</t>
  </si>
  <si>
    <t>daily_change_pct
当日涨跌幅</t>
  </si>
  <si>
    <t>daily_value
当日持仓市值</t>
  </si>
  <si>
    <t>daily_pnl
当日盈亏金额</t>
  </si>
  <si>
    <t>2026-03-05</t>
  </si>
  <si>
    <t>signal_id
信号ID</t>
  </si>
  <si>
    <t>signal_date
信号日期</t>
  </si>
  <si>
    <t>signal_type
信号类型</t>
  </si>
  <si>
    <t>trigger_condition
触发条件</t>
  </si>
  <si>
    <t>trigger_value
触发数值</t>
  </si>
  <si>
    <t>suggested_action
建议操作</t>
  </si>
  <si>
    <t>exec_status
执行状态</t>
  </si>
  <si>
    <t>actual_action
实际操作</t>
  </si>
  <si>
    <t>note
备注</t>
  </si>
  <si>
    <t>tx_id
交易ID</t>
  </si>
  <si>
    <t>platform
交易平台</t>
  </si>
  <si>
    <t>tx_type
交易类型</t>
  </si>
  <si>
    <t>tx_date
交易日期</t>
  </si>
  <si>
    <t>amount
交易金额</t>
  </si>
  <si>
    <t>shares
交易份额</t>
  </si>
  <si>
    <t>nav_at_tx
成交时净值</t>
  </si>
  <si>
    <t>fee
手续费</t>
  </si>
  <si>
    <t>tx_status
交易状态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</si>
</sst>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C36" sqref="C36"/>
    </sheetView>
  </sheetViews>
  <sheetFormatPr defaultColWidth="9" defaultRowHeight="14"/>
  <cols>
    <col min="1" max="1" width="10.4545454545455" customWidth="1"/>
    <col min="2" max="2" width="29.8181818181818" customWidth="1"/>
    <col min="3" max="3" width="23" customWidth="1"/>
    <col min="4" max="4" width="10.4545454545455" customWidth="1"/>
    <col min="5" max="5" width="23" customWidth="1"/>
    <col min="6" max="6" width="11.5454545454545" customWidth="1"/>
    <col min="7" max="7" width="14.8181818181818" customWidth="1"/>
    <col min="8" max="9" width="25" customWidth="1"/>
    <col min="10" max="11" width="12.1818181818182" customWidth="1"/>
    <col min="12" max="12" width="24.6363636363636" customWidth="1"/>
    <col min="13" max="14" width="21.9090909090909" customWidth="1"/>
  </cols>
  <sheetData>
    <row r="1" s="1" customFormat="1" ht="30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159530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>
        <v>159770</v>
      </c>
      <c r="B3" t="s">
        <v>27</v>
      </c>
      <c r="C3" t="s">
        <v>28</v>
      </c>
      <c r="D3" t="s">
        <v>16</v>
      </c>
      <c r="E3" t="s">
        <v>29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25</v>
      </c>
      <c r="N3" t="s">
        <v>26</v>
      </c>
    </row>
    <row r="4" spans="1:14">
      <c r="A4">
        <v>159781</v>
      </c>
      <c r="B4" t="s">
        <v>34</v>
      </c>
      <c r="C4" t="s">
        <v>15</v>
      </c>
      <c r="D4" t="s">
        <v>16</v>
      </c>
      <c r="E4" t="s">
        <v>35</v>
      </c>
      <c r="F4" t="s">
        <v>18</v>
      </c>
      <c r="G4" t="s">
        <v>36</v>
      </c>
      <c r="H4" t="s">
        <v>37</v>
      </c>
      <c r="I4" t="s">
        <v>38</v>
      </c>
      <c r="J4" t="s">
        <v>39</v>
      </c>
      <c r="K4" t="s">
        <v>23</v>
      </c>
      <c r="L4" t="s">
        <v>40</v>
      </c>
      <c r="M4" t="s">
        <v>25</v>
      </c>
      <c r="N4" t="s">
        <v>26</v>
      </c>
    </row>
    <row r="5" spans="1:14">
      <c r="A5">
        <v>159241</v>
      </c>
      <c r="B5" t="s">
        <v>41</v>
      </c>
      <c r="C5" t="s">
        <v>28</v>
      </c>
      <c r="D5" t="s">
        <v>16</v>
      </c>
      <c r="E5" t="s">
        <v>42</v>
      </c>
      <c r="F5" t="s">
        <v>18</v>
      </c>
      <c r="G5" t="s">
        <v>43</v>
      </c>
      <c r="H5" t="s">
        <v>44</v>
      </c>
      <c r="I5" t="s">
        <v>45</v>
      </c>
      <c r="J5" t="s">
        <v>23</v>
      </c>
      <c r="K5" t="s">
        <v>23</v>
      </c>
      <c r="L5" t="s">
        <v>46</v>
      </c>
      <c r="M5" t="s">
        <v>25</v>
      </c>
      <c r="N5" t="s">
        <v>26</v>
      </c>
    </row>
    <row r="6" spans="1:14">
      <c r="A6">
        <v>159227</v>
      </c>
      <c r="B6" t="s">
        <v>47</v>
      </c>
      <c r="C6" t="s">
        <v>48</v>
      </c>
      <c r="D6" t="s">
        <v>16</v>
      </c>
      <c r="E6" t="s">
        <v>42</v>
      </c>
      <c r="F6" t="s">
        <v>18</v>
      </c>
      <c r="G6" t="s">
        <v>43</v>
      </c>
      <c r="H6" t="s">
        <v>49</v>
      </c>
      <c r="I6" t="s">
        <v>45</v>
      </c>
      <c r="J6" t="s">
        <v>23</v>
      </c>
      <c r="K6" t="s">
        <v>23</v>
      </c>
      <c r="L6" t="s">
        <v>50</v>
      </c>
      <c r="M6" t="s">
        <v>25</v>
      </c>
      <c r="N6" t="s">
        <v>51</v>
      </c>
    </row>
    <row r="7" spans="1:14">
      <c r="A7">
        <v>159792</v>
      </c>
      <c r="B7" t="s">
        <v>52</v>
      </c>
      <c r="C7" t="s">
        <v>53</v>
      </c>
      <c r="D7" t="s">
        <v>16</v>
      </c>
      <c r="E7" t="s">
        <v>54</v>
      </c>
      <c r="F7" t="s">
        <v>18</v>
      </c>
      <c r="G7" t="s">
        <v>55</v>
      </c>
      <c r="H7" t="s">
        <v>56</v>
      </c>
      <c r="I7" t="s">
        <v>57</v>
      </c>
      <c r="J7" t="s">
        <v>23</v>
      </c>
      <c r="K7" t="s">
        <v>23</v>
      </c>
      <c r="L7" t="s">
        <v>58</v>
      </c>
      <c r="M7" t="s">
        <v>25</v>
      </c>
      <c r="N7" t="s">
        <v>51</v>
      </c>
    </row>
    <row r="8" spans="1:14">
      <c r="A8">
        <v>14662</v>
      </c>
      <c r="B8" t="s">
        <v>59</v>
      </c>
      <c r="C8" t="s">
        <v>28</v>
      </c>
      <c r="D8" t="s">
        <v>60</v>
      </c>
      <c r="E8" t="s">
        <v>61</v>
      </c>
      <c r="F8" t="s">
        <v>18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25</v>
      </c>
      <c r="N8" t="s">
        <v>26</v>
      </c>
    </row>
    <row r="9" spans="1:14">
      <c r="A9">
        <v>9034</v>
      </c>
      <c r="B9" t="s">
        <v>68</v>
      </c>
      <c r="C9" t="s">
        <v>69</v>
      </c>
      <c r="D9" t="s">
        <v>60</v>
      </c>
      <c r="E9" t="s">
        <v>61</v>
      </c>
      <c r="F9" t="s">
        <v>18</v>
      </c>
      <c r="G9" t="s">
        <v>62</v>
      </c>
      <c r="H9" t="s">
        <v>70</v>
      </c>
      <c r="I9" t="s">
        <v>64</v>
      </c>
      <c r="J9" t="s">
        <v>71</v>
      </c>
      <c r="K9" t="s">
        <v>72</v>
      </c>
      <c r="L9" t="s">
        <v>73</v>
      </c>
      <c r="M9" t="s">
        <v>25</v>
      </c>
      <c r="N9" t="s">
        <v>51</v>
      </c>
    </row>
    <row r="10" spans="1:14">
      <c r="A10">
        <v>8702</v>
      </c>
      <c r="B10" t="s">
        <v>74</v>
      </c>
      <c r="C10" t="s">
        <v>48</v>
      </c>
      <c r="D10" t="s">
        <v>60</v>
      </c>
      <c r="E10" t="s">
        <v>75</v>
      </c>
      <c r="F10" t="s">
        <v>18</v>
      </c>
      <c r="G10" t="s">
        <v>62</v>
      </c>
      <c r="H10" t="s">
        <v>76</v>
      </c>
      <c r="I10" t="s">
        <v>64</v>
      </c>
      <c r="J10" t="s">
        <v>77</v>
      </c>
      <c r="K10" t="s">
        <v>78</v>
      </c>
      <c r="L10" t="s">
        <v>79</v>
      </c>
      <c r="M10" t="s">
        <v>25</v>
      </c>
      <c r="N10" t="s">
        <v>26</v>
      </c>
    </row>
    <row r="11" spans="1:14">
      <c r="A11">
        <v>9505</v>
      </c>
      <c r="B11" t="s">
        <v>80</v>
      </c>
      <c r="C11" t="s">
        <v>53</v>
      </c>
      <c r="D11" t="s">
        <v>60</v>
      </c>
      <c r="E11" t="s">
        <v>61</v>
      </c>
      <c r="F11" t="s">
        <v>18</v>
      </c>
      <c r="G11" t="s">
        <v>62</v>
      </c>
      <c r="H11" t="s">
        <v>81</v>
      </c>
      <c r="I11" t="s">
        <v>64</v>
      </c>
      <c r="J11" t="s">
        <v>82</v>
      </c>
      <c r="K11" t="s">
        <v>83</v>
      </c>
      <c r="L11" t="s">
        <v>84</v>
      </c>
      <c r="M11" t="s">
        <v>25</v>
      </c>
      <c r="N11" t="s">
        <v>51</v>
      </c>
    </row>
    <row r="12" spans="1:14">
      <c r="A12">
        <v>20341</v>
      </c>
      <c r="B12" t="s">
        <v>85</v>
      </c>
      <c r="C12" t="s">
        <v>86</v>
      </c>
      <c r="D12" t="s">
        <v>60</v>
      </c>
      <c r="E12" t="s">
        <v>75</v>
      </c>
      <c r="F12" t="s">
        <v>18</v>
      </c>
      <c r="G12" t="s">
        <v>62</v>
      </c>
      <c r="H12" t="s">
        <v>87</v>
      </c>
      <c r="I12" t="s">
        <v>88</v>
      </c>
      <c r="J12" t="s">
        <v>89</v>
      </c>
      <c r="K12" t="s">
        <v>23</v>
      </c>
      <c r="L12" t="s">
        <v>90</v>
      </c>
      <c r="M12" t="s">
        <v>25</v>
      </c>
      <c r="N12" t="s">
        <v>51</v>
      </c>
    </row>
    <row r="13" spans="1:14">
      <c r="A13">
        <v>5693</v>
      </c>
      <c r="B13" t="s">
        <v>91</v>
      </c>
      <c r="C13" t="s">
        <v>92</v>
      </c>
      <c r="D13" t="s">
        <v>60</v>
      </c>
      <c r="E13" t="s">
        <v>93</v>
      </c>
      <c r="F13" t="s">
        <v>18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M13" t="s">
        <v>25</v>
      </c>
      <c r="N13" t="s">
        <v>51</v>
      </c>
    </row>
    <row r="14" spans="1:14">
      <c r="A14">
        <v>17470</v>
      </c>
      <c r="B14" t="s">
        <v>100</v>
      </c>
      <c r="C14" t="s">
        <v>101</v>
      </c>
      <c r="D14" t="s">
        <v>60</v>
      </c>
      <c r="E14" t="s">
        <v>102</v>
      </c>
      <c r="F14" t="s">
        <v>18</v>
      </c>
      <c r="G14" t="s">
        <v>103</v>
      </c>
      <c r="H14" t="s">
        <v>104</v>
      </c>
      <c r="I14" t="s">
        <v>105</v>
      </c>
      <c r="J14" t="s">
        <v>106</v>
      </c>
      <c r="K14" t="s">
        <v>23</v>
      </c>
      <c r="L14" t="s">
        <v>107</v>
      </c>
      <c r="M14" t="s">
        <v>25</v>
      </c>
      <c r="N14" t="s">
        <v>26</v>
      </c>
    </row>
    <row r="15" spans="1:14">
      <c r="A15">
        <v>18345</v>
      </c>
      <c r="B15" t="s">
        <v>108</v>
      </c>
      <c r="C15" t="s">
        <v>48</v>
      </c>
      <c r="D15" t="s">
        <v>60</v>
      </c>
      <c r="E15" t="s">
        <v>29</v>
      </c>
      <c r="F15" t="s">
        <v>18</v>
      </c>
      <c r="G15" t="s">
        <v>19</v>
      </c>
      <c r="H15" t="s">
        <v>109</v>
      </c>
      <c r="I15" t="s">
        <v>110</v>
      </c>
      <c r="J15" t="s">
        <v>111</v>
      </c>
      <c r="K15" t="s">
        <v>23</v>
      </c>
      <c r="L15" t="s">
        <v>112</v>
      </c>
      <c r="M15" t="s">
        <v>25</v>
      </c>
      <c r="N15" t="s">
        <v>26</v>
      </c>
    </row>
    <row r="16" spans="1:14">
      <c r="A16">
        <v>20482</v>
      </c>
      <c r="B16" t="s">
        <v>113</v>
      </c>
      <c r="C16" t="s">
        <v>114</v>
      </c>
      <c r="D16" t="s">
        <v>60</v>
      </c>
      <c r="E16" t="s">
        <v>29</v>
      </c>
      <c r="F16" t="s">
        <v>18</v>
      </c>
      <c r="G16" t="s">
        <v>19</v>
      </c>
      <c r="H16" t="s">
        <v>115</v>
      </c>
      <c r="I16" t="s">
        <v>116</v>
      </c>
      <c r="J16" t="s">
        <v>117</v>
      </c>
      <c r="K16" t="s">
        <v>23</v>
      </c>
      <c r="L16" t="s">
        <v>118</v>
      </c>
      <c r="M16" t="s">
        <v>25</v>
      </c>
      <c r="N16" t="s">
        <v>51</v>
      </c>
    </row>
    <row r="17" spans="1:14">
      <c r="A17">
        <v>14881</v>
      </c>
      <c r="B17" t="s">
        <v>119</v>
      </c>
      <c r="C17" t="s">
        <v>28</v>
      </c>
      <c r="D17" t="s">
        <v>60</v>
      </c>
      <c r="E17" t="s">
        <v>29</v>
      </c>
      <c r="F17" t="s">
        <v>18</v>
      </c>
      <c r="G17" t="s">
        <v>19</v>
      </c>
      <c r="H17" t="s">
        <v>120</v>
      </c>
      <c r="I17" t="s">
        <v>110</v>
      </c>
      <c r="J17" t="s">
        <v>121</v>
      </c>
      <c r="K17" t="s">
        <v>23</v>
      </c>
      <c r="L17" t="s">
        <v>122</v>
      </c>
      <c r="M17" t="s">
        <v>25</v>
      </c>
      <c r="N17" t="s">
        <v>26</v>
      </c>
    </row>
    <row r="18" spans="1:14">
      <c r="A18">
        <v>2183</v>
      </c>
      <c r="B18" t="s">
        <v>123</v>
      </c>
      <c r="C18" t="s">
        <v>124</v>
      </c>
      <c r="D18" t="s">
        <v>125</v>
      </c>
      <c r="E18" t="s">
        <v>51</v>
      </c>
      <c r="F18" t="s">
        <v>126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L18" t="s">
        <v>132</v>
      </c>
      <c r="M18" t="s">
        <v>133</v>
      </c>
      <c r="N18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workbookViewId="0">
      <selection activeCell="D37" sqref="D37"/>
    </sheetView>
  </sheetViews>
  <sheetFormatPr defaultColWidth="9" defaultRowHeight="14"/>
  <cols>
    <col min="1" max="1" width="11.5454545454545" customWidth="1"/>
    <col min="2" max="2" width="10.4545454545455" customWidth="1"/>
    <col min="3" max="3" width="29.8181818181818" customWidth="1"/>
    <col min="4" max="4" width="11.8181818181818" customWidth="1"/>
    <col min="5" max="5" width="15.9090909090909" customWidth="1"/>
    <col min="6" max="6" width="14.8181818181818" customWidth="1"/>
    <col min="7" max="7" width="12.6363636363636" customWidth="1"/>
    <col min="8" max="8" width="17" customWidth="1"/>
    <col min="9" max="10" width="14.8181818181818" customWidth="1"/>
    <col min="11" max="11" width="18.0909090909091" customWidth="1"/>
    <col min="12" max="12" width="20.2727272727273" customWidth="1"/>
    <col min="13" max="13" width="12.6363636363636" customWidth="1"/>
    <col min="14" max="14" width="15.9090909090909" customWidth="1"/>
    <col min="15" max="15" width="18.0909090909091" customWidth="1"/>
    <col min="16" max="16" width="11.5454545454545" customWidth="1"/>
    <col min="17" max="17" width="21.9090909090909" customWidth="1"/>
  </cols>
  <sheetData>
    <row r="1" s="1" customFormat="1" ht="31" customHeight="1" spans="1:17">
      <c r="A1" s="2" t="s">
        <v>134</v>
      </c>
      <c r="B1" s="2" t="s">
        <v>0</v>
      </c>
      <c r="C1" s="2" t="s">
        <v>1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146</v>
      </c>
      <c r="P1" s="2" t="s">
        <v>12</v>
      </c>
      <c r="Q1" s="2" t="s">
        <v>13</v>
      </c>
    </row>
    <row r="2" spans="1:17">
      <c r="A2">
        <v>1</v>
      </c>
      <c r="B2">
        <v>2183</v>
      </c>
      <c r="C2" t="s">
        <v>123</v>
      </c>
      <c r="D2" t="s">
        <v>147</v>
      </c>
      <c r="E2">
        <v>81064.63</v>
      </c>
      <c r="F2">
        <v>1</v>
      </c>
      <c r="G2">
        <v>16212.93</v>
      </c>
      <c r="H2">
        <v>64851.7</v>
      </c>
      <c r="I2" t="s">
        <v>51</v>
      </c>
      <c r="J2" t="s">
        <v>51</v>
      </c>
      <c r="K2">
        <v>81064.63</v>
      </c>
      <c r="L2" t="s">
        <v>51</v>
      </c>
      <c r="M2" t="s">
        <v>51</v>
      </c>
      <c r="N2" t="s">
        <v>51</v>
      </c>
      <c r="O2" t="s">
        <v>51</v>
      </c>
      <c r="P2" t="s">
        <v>51</v>
      </c>
      <c r="Q2" t="s">
        <v>148</v>
      </c>
    </row>
    <row r="3" spans="1:17">
      <c r="A3">
        <v>2</v>
      </c>
      <c r="B3">
        <v>5693</v>
      </c>
      <c r="C3" t="s">
        <v>91</v>
      </c>
      <c r="D3" t="s">
        <v>149</v>
      </c>
      <c r="E3">
        <v>330.17</v>
      </c>
      <c r="F3">
        <v>1.4235</v>
      </c>
      <c r="G3">
        <v>66.03</v>
      </c>
      <c r="H3">
        <v>264.14</v>
      </c>
      <c r="I3" t="s">
        <v>51</v>
      </c>
      <c r="J3" t="s">
        <v>51</v>
      </c>
      <c r="K3">
        <v>571.25</v>
      </c>
      <c r="L3" t="s">
        <v>51</v>
      </c>
      <c r="M3" t="s">
        <v>51</v>
      </c>
      <c r="N3" t="s">
        <v>51</v>
      </c>
      <c r="O3" t="s">
        <v>51</v>
      </c>
      <c r="P3" t="s">
        <v>51</v>
      </c>
      <c r="Q3" t="s">
        <v>148</v>
      </c>
    </row>
    <row r="4" spans="1:17">
      <c r="A4">
        <v>3</v>
      </c>
      <c r="B4">
        <v>8702</v>
      </c>
      <c r="C4" t="s">
        <v>74</v>
      </c>
      <c r="D4" t="s">
        <v>149</v>
      </c>
      <c r="E4">
        <v>479.56</v>
      </c>
      <c r="F4">
        <v>2.5023</v>
      </c>
      <c r="G4">
        <v>95.91</v>
      </c>
      <c r="H4">
        <v>383.65</v>
      </c>
      <c r="I4" t="s">
        <v>51</v>
      </c>
      <c r="J4" t="s">
        <v>51</v>
      </c>
      <c r="K4">
        <v>1200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148</v>
      </c>
    </row>
    <row r="5" spans="1:17">
      <c r="A5">
        <v>4</v>
      </c>
      <c r="B5">
        <v>9034</v>
      </c>
      <c r="C5" t="s">
        <v>68</v>
      </c>
      <c r="D5" t="s">
        <v>149</v>
      </c>
      <c r="E5">
        <v>383.5</v>
      </c>
      <c r="F5">
        <v>2.556</v>
      </c>
      <c r="G5">
        <v>76.7</v>
      </c>
      <c r="H5">
        <v>306.8</v>
      </c>
      <c r="I5" t="s">
        <v>51</v>
      </c>
      <c r="J5" t="s">
        <v>51</v>
      </c>
      <c r="K5">
        <v>980.22</v>
      </c>
      <c r="L5" t="s">
        <v>51</v>
      </c>
      <c r="M5" t="s">
        <v>51</v>
      </c>
      <c r="N5" t="s">
        <v>51</v>
      </c>
      <c r="O5" t="s">
        <v>51</v>
      </c>
      <c r="P5" t="s">
        <v>51</v>
      </c>
      <c r="Q5" t="s">
        <v>148</v>
      </c>
    </row>
    <row r="6" spans="1:17">
      <c r="A6">
        <v>5</v>
      </c>
      <c r="B6">
        <v>9505</v>
      </c>
      <c r="C6" t="s">
        <v>80</v>
      </c>
      <c r="D6" t="s">
        <v>149</v>
      </c>
      <c r="E6">
        <v>416.65</v>
      </c>
      <c r="F6">
        <v>2.4001</v>
      </c>
      <c r="G6">
        <v>83.33</v>
      </c>
      <c r="H6">
        <v>333.32</v>
      </c>
      <c r="I6" t="s">
        <v>51</v>
      </c>
      <c r="J6" t="s">
        <v>51</v>
      </c>
      <c r="K6">
        <v>999.96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148</v>
      </c>
    </row>
    <row r="7" spans="1:17">
      <c r="A7">
        <v>6</v>
      </c>
      <c r="B7">
        <v>14662</v>
      </c>
      <c r="C7" t="s">
        <v>59</v>
      </c>
      <c r="D7" t="s">
        <v>149</v>
      </c>
      <c r="E7">
        <v>233.16</v>
      </c>
      <c r="F7">
        <v>2.5733</v>
      </c>
      <c r="G7">
        <v>46.63</v>
      </c>
      <c r="H7">
        <v>186.53</v>
      </c>
      <c r="I7" t="s">
        <v>51</v>
      </c>
      <c r="J7" t="s">
        <v>51</v>
      </c>
      <c r="K7">
        <v>600</v>
      </c>
      <c r="L7" t="s">
        <v>51</v>
      </c>
      <c r="M7" t="s">
        <v>51</v>
      </c>
      <c r="N7" t="s">
        <v>51</v>
      </c>
      <c r="O7" t="s">
        <v>51</v>
      </c>
      <c r="P7" t="s">
        <v>51</v>
      </c>
      <c r="Q7" t="s">
        <v>148</v>
      </c>
    </row>
    <row r="8" spans="1:17">
      <c r="A8">
        <v>7</v>
      </c>
      <c r="B8">
        <v>14881</v>
      </c>
      <c r="C8" t="s">
        <v>119</v>
      </c>
      <c r="D8" t="s">
        <v>149</v>
      </c>
      <c r="E8">
        <v>1572.57</v>
      </c>
      <c r="F8">
        <v>1.2718</v>
      </c>
      <c r="G8">
        <v>314.51</v>
      </c>
      <c r="H8">
        <v>1258.06</v>
      </c>
      <c r="I8" t="s">
        <v>51</v>
      </c>
      <c r="J8" t="s">
        <v>51</v>
      </c>
      <c r="K8">
        <v>2000</v>
      </c>
      <c r="L8" t="s">
        <v>51</v>
      </c>
      <c r="M8" t="s">
        <v>51</v>
      </c>
      <c r="N8" t="s">
        <v>51</v>
      </c>
      <c r="O8" t="s">
        <v>51</v>
      </c>
      <c r="P8" t="s">
        <v>51</v>
      </c>
      <c r="Q8" t="s">
        <v>148</v>
      </c>
    </row>
    <row r="9" spans="1:17">
      <c r="A9">
        <v>8</v>
      </c>
      <c r="B9">
        <v>17470</v>
      </c>
      <c r="C9" t="s">
        <v>100</v>
      </c>
      <c r="D9" t="s">
        <v>149</v>
      </c>
      <c r="E9">
        <v>433.92</v>
      </c>
      <c r="F9">
        <v>2.1663</v>
      </c>
      <c r="G9">
        <v>86.78</v>
      </c>
      <c r="H9">
        <v>347.14</v>
      </c>
      <c r="I9" t="s">
        <v>51</v>
      </c>
      <c r="J9" t="s">
        <v>51</v>
      </c>
      <c r="K9">
        <v>940</v>
      </c>
      <c r="L9" t="s">
        <v>51</v>
      </c>
      <c r="M9" t="s">
        <v>51</v>
      </c>
      <c r="N9" t="s">
        <v>51</v>
      </c>
      <c r="O9" t="s">
        <v>51</v>
      </c>
      <c r="P9" t="s">
        <v>51</v>
      </c>
      <c r="Q9" t="s">
        <v>148</v>
      </c>
    </row>
    <row r="10" spans="1:17">
      <c r="A10">
        <v>9</v>
      </c>
      <c r="B10">
        <v>18345</v>
      </c>
      <c r="C10" t="s">
        <v>108</v>
      </c>
      <c r="D10" t="s">
        <v>149</v>
      </c>
      <c r="E10">
        <v>1545.12</v>
      </c>
      <c r="F10">
        <v>1.2944</v>
      </c>
      <c r="G10">
        <v>309.02</v>
      </c>
      <c r="H10">
        <v>1236.1</v>
      </c>
      <c r="I10" t="s">
        <v>51</v>
      </c>
      <c r="J10" t="s">
        <v>51</v>
      </c>
      <c r="K10">
        <v>2000</v>
      </c>
      <c r="L10" t="s">
        <v>51</v>
      </c>
      <c r="M10" t="s">
        <v>51</v>
      </c>
      <c r="N10" t="s">
        <v>51</v>
      </c>
      <c r="O10" t="s">
        <v>51</v>
      </c>
      <c r="P10" t="s">
        <v>51</v>
      </c>
      <c r="Q10" t="s">
        <v>148</v>
      </c>
    </row>
    <row r="11" spans="1:17">
      <c r="A11">
        <v>10</v>
      </c>
      <c r="B11">
        <v>20341</v>
      </c>
      <c r="C11" t="s">
        <v>85</v>
      </c>
      <c r="D11" t="s">
        <v>149</v>
      </c>
      <c r="E11">
        <v>311.87</v>
      </c>
      <c r="F11">
        <v>2.5652</v>
      </c>
      <c r="G11">
        <v>62.37</v>
      </c>
      <c r="H11">
        <v>249.5</v>
      </c>
      <c r="I11" t="s">
        <v>51</v>
      </c>
      <c r="J11" t="s">
        <v>51</v>
      </c>
      <c r="K11">
        <v>1000</v>
      </c>
      <c r="L11" t="s">
        <v>51</v>
      </c>
      <c r="M11" t="s">
        <v>51</v>
      </c>
      <c r="N11" t="s">
        <v>51</v>
      </c>
      <c r="O11" t="s">
        <v>51</v>
      </c>
      <c r="P11" t="s">
        <v>51</v>
      </c>
      <c r="Q11" t="s">
        <v>148</v>
      </c>
    </row>
    <row r="12" spans="1:17">
      <c r="A12">
        <v>11</v>
      </c>
      <c r="B12">
        <v>20482</v>
      </c>
      <c r="C12" t="s">
        <v>113</v>
      </c>
      <c r="D12" t="s">
        <v>149</v>
      </c>
      <c r="E12">
        <v>1209.85</v>
      </c>
      <c r="F12">
        <v>1.6531</v>
      </c>
      <c r="G12">
        <v>241.97</v>
      </c>
      <c r="H12">
        <v>967.88</v>
      </c>
      <c r="I12" t="s">
        <v>51</v>
      </c>
      <c r="J12" t="s">
        <v>51</v>
      </c>
      <c r="K12">
        <v>2000</v>
      </c>
      <c r="L12" t="s">
        <v>51</v>
      </c>
      <c r="M12" t="s">
        <v>51</v>
      </c>
      <c r="N12" t="s">
        <v>51</v>
      </c>
      <c r="O12" t="s">
        <v>51</v>
      </c>
      <c r="P12" t="s">
        <v>51</v>
      </c>
      <c r="Q12" t="s">
        <v>148</v>
      </c>
    </row>
    <row r="13" spans="1:17">
      <c r="A13">
        <v>12</v>
      </c>
      <c r="B13">
        <v>159227</v>
      </c>
      <c r="C13" t="s">
        <v>47</v>
      </c>
      <c r="D13" t="s">
        <v>147</v>
      </c>
      <c r="E13">
        <v>600</v>
      </c>
      <c r="F13">
        <v>1.506</v>
      </c>
      <c r="G13">
        <v>120</v>
      </c>
      <c r="H13">
        <v>480</v>
      </c>
      <c r="I13" t="s">
        <v>51</v>
      </c>
      <c r="J13" t="s">
        <v>51</v>
      </c>
      <c r="K13">
        <v>903.6</v>
      </c>
      <c r="L13" t="s">
        <v>51</v>
      </c>
      <c r="M13" t="s">
        <v>51</v>
      </c>
      <c r="N13" t="s">
        <v>51</v>
      </c>
      <c r="O13" t="s">
        <v>51</v>
      </c>
      <c r="P13" t="s">
        <v>51</v>
      </c>
      <c r="Q13" t="s">
        <v>148</v>
      </c>
    </row>
    <row r="14" spans="1:17">
      <c r="A14">
        <v>13</v>
      </c>
      <c r="B14">
        <v>159241</v>
      </c>
      <c r="C14" t="s">
        <v>41</v>
      </c>
      <c r="D14" t="s">
        <v>147</v>
      </c>
      <c r="E14">
        <v>600</v>
      </c>
      <c r="F14">
        <v>1.538</v>
      </c>
      <c r="G14">
        <v>120</v>
      </c>
      <c r="H14">
        <v>480</v>
      </c>
      <c r="I14" t="s">
        <v>51</v>
      </c>
      <c r="J14" t="s">
        <v>51</v>
      </c>
      <c r="K14">
        <v>922.8</v>
      </c>
      <c r="L14" t="s">
        <v>51</v>
      </c>
      <c r="M14" t="s">
        <v>51</v>
      </c>
      <c r="N14" t="s">
        <v>51</v>
      </c>
      <c r="O14" t="s">
        <v>51</v>
      </c>
      <c r="P14" t="s">
        <v>51</v>
      </c>
      <c r="Q14" t="s">
        <v>148</v>
      </c>
    </row>
    <row r="15" spans="1:17">
      <c r="A15">
        <v>14</v>
      </c>
      <c r="B15">
        <v>159530</v>
      </c>
      <c r="C15" t="s">
        <v>14</v>
      </c>
      <c r="D15" t="s">
        <v>147</v>
      </c>
      <c r="E15">
        <v>1500</v>
      </c>
      <c r="F15">
        <v>1.609</v>
      </c>
      <c r="G15">
        <v>300</v>
      </c>
      <c r="H15">
        <v>1200</v>
      </c>
      <c r="I15" t="s">
        <v>51</v>
      </c>
      <c r="J15" t="s">
        <v>51</v>
      </c>
      <c r="K15">
        <v>2413.5</v>
      </c>
      <c r="L15" t="s">
        <v>51</v>
      </c>
      <c r="M15" t="s">
        <v>51</v>
      </c>
      <c r="N15" t="s">
        <v>51</v>
      </c>
      <c r="O15" t="s">
        <v>51</v>
      </c>
      <c r="P15" t="s">
        <v>51</v>
      </c>
      <c r="Q15" t="s">
        <v>148</v>
      </c>
    </row>
    <row r="16" spans="1:17">
      <c r="A16">
        <v>15</v>
      </c>
      <c r="B16">
        <v>159770</v>
      </c>
      <c r="C16" t="s">
        <v>27</v>
      </c>
      <c r="D16" t="s">
        <v>147</v>
      </c>
      <c r="E16">
        <v>1600</v>
      </c>
      <c r="F16">
        <v>1.123</v>
      </c>
      <c r="G16">
        <v>320</v>
      </c>
      <c r="H16">
        <v>1280</v>
      </c>
      <c r="I16" t="s">
        <v>51</v>
      </c>
      <c r="J16" t="s">
        <v>51</v>
      </c>
      <c r="K16">
        <v>1796.8</v>
      </c>
      <c r="L16" t="s">
        <v>51</v>
      </c>
      <c r="M16" t="s">
        <v>51</v>
      </c>
      <c r="N16" t="s">
        <v>51</v>
      </c>
      <c r="O16" t="s">
        <v>51</v>
      </c>
      <c r="P16" t="s">
        <v>51</v>
      </c>
      <c r="Q16" t="s">
        <v>148</v>
      </c>
    </row>
    <row r="17" spans="1:17">
      <c r="A17">
        <v>16</v>
      </c>
      <c r="B17">
        <v>159781</v>
      </c>
      <c r="C17" t="s">
        <v>34</v>
      </c>
      <c r="D17" t="s">
        <v>147</v>
      </c>
      <c r="E17">
        <v>1500</v>
      </c>
      <c r="F17">
        <v>0.938</v>
      </c>
      <c r="G17">
        <v>300</v>
      </c>
      <c r="H17">
        <v>1200</v>
      </c>
      <c r="I17" t="s">
        <v>51</v>
      </c>
      <c r="J17" t="s">
        <v>51</v>
      </c>
      <c r="K17">
        <v>1407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148</v>
      </c>
    </row>
    <row r="18" spans="1:17">
      <c r="A18">
        <v>17</v>
      </c>
      <c r="B18">
        <v>159792</v>
      </c>
      <c r="C18" t="s">
        <v>52</v>
      </c>
      <c r="D18" t="s">
        <v>147</v>
      </c>
      <c r="E18">
        <v>200</v>
      </c>
      <c r="F18">
        <v>0.786</v>
      </c>
      <c r="G18">
        <v>40</v>
      </c>
      <c r="H18">
        <v>160</v>
      </c>
      <c r="I18" t="s">
        <v>51</v>
      </c>
      <c r="J18" t="s">
        <v>51</v>
      </c>
      <c r="K18">
        <v>157.2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148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E35" sqref="E35"/>
    </sheetView>
  </sheetViews>
  <sheetFormatPr defaultColWidth="9" defaultRowHeight="14" outlineLevelRow="7"/>
  <cols>
    <col min="1" max="1" width="8.27272727272727" customWidth="1"/>
    <col min="2" max="2" width="10.4545454545455" customWidth="1"/>
    <col min="3" max="3" width="29.8181818181818" customWidth="1"/>
    <col min="4" max="4" width="9.36363636363636" customWidth="1"/>
    <col min="5" max="5" width="10.4545454545455" customWidth="1"/>
    <col min="6" max="6" width="28.6363636363636" customWidth="1"/>
    <col min="7" max="7" width="9" customWidth="1"/>
    <col min="8" max="8" width="9.54545454545454" customWidth="1"/>
    <col min="9" max="9" width="15.9090909090909" customWidth="1"/>
    <col min="10" max="10" width="11.5454545454545" customWidth="1"/>
    <col min="11" max="11" width="19.1818181818182" customWidth="1"/>
    <col min="12" max="13" width="11.5454545454545" customWidth="1"/>
  </cols>
  <sheetData>
    <row r="1" s="1" customFormat="1" ht="32" customHeight="1" spans="1:13">
      <c r="A1" s="2" t="s">
        <v>150</v>
      </c>
      <c r="B1" s="2" t="s">
        <v>0</v>
      </c>
      <c r="C1" s="2" t="s">
        <v>1</v>
      </c>
      <c r="D1" s="2" t="s">
        <v>151</v>
      </c>
      <c r="E1" s="2" t="s">
        <v>152</v>
      </c>
      <c r="F1" s="2" t="s">
        <v>153</v>
      </c>
      <c r="G1" s="2" t="s">
        <v>154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12</v>
      </c>
      <c r="M1" s="2" t="s">
        <v>13</v>
      </c>
    </row>
    <row r="2" spans="1:13">
      <c r="A2">
        <v>1</v>
      </c>
      <c r="B2">
        <v>5693</v>
      </c>
      <c r="C2" t="str">
        <f>VLOOKUP(B2,'fund_info(基金基本信息表)'!$A:$B,2,0)</f>
        <v>广发中证军工ETF联接C</v>
      </c>
      <c r="D2" t="s">
        <v>149</v>
      </c>
      <c r="E2">
        <v>1</v>
      </c>
      <c r="F2" t="s">
        <v>159</v>
      </c>
      <c r="G2">
        <v>100</v>
      </c>
      <c r="H2" t="s">
        <v>160</v>
      </c>
      <c r="I2">
        <v>270</v>
      </c>
      <c r="J2" t="s">
        <v>51</v>
      </c>
      <c r="K2" t="s">
        <v>161</v>
      </c>
      <c r="L2" t="s">
        <v>51</v>
      </c>
      <c r="M2" t="s">
        <v>51</v>
      </c>
    </row>
    <row r="3" spans="1:13">
      <c r="A3">
        <v>2</v>
      </c>
      <c r="B3">
        <v>17470</v>
      </c>
      <c r="C3" t="str">
        <f>VLOOKUP(B3,'fund_info(基金基本信息表)'!$A:$B,2,0)</f>
        <v>嘉实上证科创板芯片ETF联接C</v>
      </c>
      <c r="D3" t="s">
        <v>149</v>
      </c>
      <c r="E3">
        <v>1</v>
      </c>
      <c r="F3" t="s">
        <v>162</v>
      </c>
      <c r="G3">
        <v>100</v>
      </c>
      <c r="H3" t="s">
        <v>163</v>
      </c>
      <c r="I3">
        <v>840</v>
      </c>
      <c r="J3" t="s">
        <v>51</v>
      </c>
      <c r="K3" t="s">
        <v>161</v>
      </c>
      <c r="L3" t="s">
        <v>51</v>
      </c>
      <c r="M3" t="s">
        <v>51</v>
      </c>
    </row>
    <row r="4" spans="1:13">
      <c r="A4">
        <v>3</v>
      </c>
      <c r="B4">
        <v>9034</v>
      </c>
      <c r="C4" t="str">
        <f>VLOOKUP(B4,'fund_info(基金基本信息表)'!$A:$B,2,0)</f>
        <v>建信上海金ETF联接C</v>
      </c>
      <c r="D4" t="s">
        <v>149</v>
      </c>
      <c r="E4">
        <v>1</v>
      </c>
      <c r="F4" t="s">
        <v>164</v>
      </c>
      <c r="G4">
        <v>200</v>
      </c>
      <c r="H4" t="s">
        <v>160</v>
      </c>
      <c r="I4">
        <v>2200</v>
      </c>
      <c r="J4" t="s">
        <v>51</v>
      </c>
      <c r="K4" t="s">
        <v>161</v>
      </c>
      <c r="L4" t="s">
        <v>51</v>
      </c>
      <c r="M4" t="s">
        <v>51</v>
      </c>
    </row>
    <row r="5" spans="1:13">
      <c r="A5">
        <v>4</v>
      </c>
      <c r="B5">
        <v>20341</v>
      </c>
      <c r="C5" t="str">
        <f>VLOOKUP(B5,'fund_info(基金基本信息表)'!$A:$B,2,0)</f>
        <v>工银瑞信黄金ETF联接E</v>
      </c>
      <c r="D5" t="s">
        <v>149</v>
      </c>
      <c r="E5">
        <v>1</v>
      </c>
      <c r="F5" t="s">
        <v>165</v>
      </c>
      <c r="G5">
        <v>200</v>
      </c>
      <c r="H5" t="s">
        <v>160</v>
      </c>
      <c r="I5">
        <v>2000</v>
      </c>
      <c r="J5" t="s">
        <v>51</v>
      </c>
      <c r="K5" t="s">
        <v>161</v>
      </c>
      <c r="L5" t="s">
        <v>51</v>
      </c>
      <c r="M5" t="s">
        <v>51</v>
      </c>
    </row>
    <row r="6" spans="1:13">
      <c r="A6">
        <v>5</v>
      </c>
      <c r="B6">
        <v>9505</v>
      </c>
      <c r="C6" t="str">
        <f>VLOOKUP(B6,'fund_info(基金基本信息表)'!$A:$B,2,0)</f>
        <v>富国上海金ETF联接C</v>
      </c>
      <c r="D6" t="s">
        <v>149</v>
      </c>
      <c r="E6">
        <v>1</v>
      </c>
      <c r="F6" t="s">
        <v>166</v>
      </c>
      <c r="G6">
        <v>200</v>
      </c>
      <c r="H6" t="s">
        <v>160</v>
      </c>
      <c r="I6">
        <v>2800</v>
      </c>
      <c r="J6" t="s">
        <v>51</v>
      </c>
      <c r="K6" t="s">
        <v>161</v>
      </c>
      <c r="L6" t="s">
        <v>51</v>
      </c>
      <c r="M6" t="s">
        <v>51</v>
      </c>
    </row>
    <row r="7" spans="1:13">
      <c r="A7">
        <v>6</v>
      </c>
      <c r="B7">
        <v>8702</v>
      </c>
      <c r="C7" t="str">
        <f>VLOOKUP(B7,'fund_info(基金基本信息表)'!$A:$B,2,0)</f>
        <v>华夏黄金ETF联接C</v>
      </c>
      <c r="D7" t="s">
        <v>149</v>
      </c>
      <c r="E7">
        <v>1</v>
      </c>
      <c r="F7" t="s">
        <v>167</v>
      </c>
      <c r="G7">
        <v>200</v>
      </c>
      <c r="H7" t="s">
        <v>160</v>
      </c>
      <c r="I7">
        <v>2000</v>
      </c>
      <c r="J7" t="s">
        <v>51</v>
      </c>
      <c r="K7" t="s">
        <v>161</v>
      </c>
      <c r="L7" t="s">
        <v>51</v>
      </c>
      <c r="M7" t="s">
        <v>51</v>
      </c>
    </row>
    <row r="8" spans="1:13">
      <c r="A8">
        <v>7</v>
      </c>
      <c r="B8">
        <v>14662</v>
      </c>
      <c r="C8" t="str">
        <f>VLOOKUP(B8,'fund_info(基金基本信息表)'!$A:$B,2,0)</f>
        <v>天弘上海金ETF联接C</v>
      </c>
      <c r="D8" t="s">
        <v>149</v>
      </c>
      <c r="E8">
        <v>1</v>
      </c>
      <c r="F8" t="s">
        <v>168</v>
      </c>
      <c r="G8">
        <v>200</v>
      </c>
      <c r="H8" t="s">
        <v>160</v>
      </c>
      <c r="I8">
        <v>5500</v>
      </c>
      <c r="J8" t="s">
        <v>51</v>
      </c>
      <c r="K8" t="s">
        <v>161</v>
      </c>
      <c r="L8" t="s">
        <v>51</v>
      </c>
      <c r="M8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C28" sqref="C28"/>
    </sheetView>
  </sheetViews>
  <sheetFormatPr defaultColWidth="9" defaultRowHeight="14"/>
  <cols>
    <col min="1" max="1" width="8.27272727272727" customWidth="1"/>
    <col min="2" max="3" width="16.1818181818182" customWidth="1"/>
    <col min="4" max="4" width="36.5454545454545" customWidth="1"/>
    <col min="5" max="5" width="13.4545454545455" customWidth="1"/>
    <col min="6" max="6" width="38.8181818181818" customWidth="1"/>
    <col min="7" max="10" width="15.0909090909091" customWidth="1"/>
  </cols>
  <sheetData>
    <row r="1" s="1" customFormat="1" ht="27" customHeight="1" spans="1:10">
      <c r="A1" s="2" t="s">
        <v>169</v>
      </c>
      <c r="B1" s="2" t="s">
        <v>6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152</v>
      </c>
      <c r="I1" s="2" t="s">
        <v>12</v>
      </c>
      <c r="J1" s="2" t="s">
        <v>13</v>
      </c>
    </row>
    <row r="2" spans="1:10">
      <c r="A2">
        <v>1</v>
      </c>
      <c r="B2" t="s">
        <v>94</v>
      </c>
      <c r="C2" t="s">
        <v>175</v>
      </c>
      <c r="D2" t="s">
        <v>176</v>
      </c>
      <c r="E2">
        <v>0.3</v>
      </c>
      <c r="F2" t="s">
        <v>177</v>
      </c>
      <c r="G2">
        <v>1</v>
      </c>
      <c r="H2">
        <v>1</v>
      </c>
      <c r="I2" t="s">
        <v>51</v>
      </c>
      <c r="J2" t="s">
        <v>51</v>
      </c>
    </row>
    <row r="3" spans="1:10">
      <c r="A3">
        <v>2</v>
      </c>
      <c r="B3" t="s">
        <v>103</v>
      </c>
      <c r="C3" t="s">
        <v>175</v>
      </c>
      <c r="D3" t="s">
        <v>176</v>
      </c>
      <c r="E3">
        <v>0.3</v>
      </c>
      <c r="F3" t="s">
        <v>177</v>
      </c>
      <c r="G3">
        <v>1</v>
      </c>
      <c r="H3">
        <v>1</v>
      </c>
      <c r="I3" t="s">
        <v>51</v>
      </c>
      <c r="J3" t="s">
        <v>51</v>
      </c>
    </row>
    <row r="4" spans="1:10">
      <c r="A4">
        <v>3</v>
      </c>
      <c r="B4" t="s">
        <v>94</v>
      </c>
      <c r="C4" t="s">
        <v>175</v>
      </c>
      <c r="D4" t="s">
        <v>178</v>
      </c>
      <c r="E4">
        <v>0.5</v>
      </c>
      <c r="F4" t="s">
        <v>179</v>
      </c>
      <c r="G4">
        <v>2</v>
      </c>
      <c r="H4">
        <v>1</v>
      </c>
      <c r="I4" t="s">
        <v>51</v>
      </c>
      <c r="J4" t="s">
        <v>51</v>
      </c>
    </row>
    <row r="5" spans="1:10">
      <c r="A5">
        <v>4</v>
      </c>
      <c r="B5" t="s">
        <v>103</v>
      </c>
      <c r="C5" t="s">
        <v>175</v>
      </c>
      <c r="D5" t="s">
        <v>178</v>
      </c>
      <c r="E5">
        <v>0.5</v>
      </c>
      <c r="F5" t="s">
        <v>179</v>
      </c>
      <c r="G5">
        <v>2</v>
      </c>
      <c r="H5">
        <v>1</v>
      </c>
      <c r="I5" t="s">
        <v>51</v>
      </c>
      <c r="J5" t="s">
        <v>51</v>
      </c>
    </row>
    <row r="6" spans="1:10">
      <c r="A6">
        <v>5</v>
      </c>
      <c r="B6" t="s">
        <v>62</v>
      </c>
      <c r="C6" t="s">
        <v>175</v>
      </c>
      <c r="D6" t="s">
        <v>180</v>
      </c>
      <c r="E6">
        <v>0.1</v>
      </c>
      <c r="F6" t="s">
        <v>181</v>
      </c>
      <c r="G6">
        <v>1</v>
      </c>
      <c r="H6">
        <v>1</v>
      </c>
      <c r="I6" t="s">
        <v>51</v>
      </c>
      <c r="J6" t="s">
        <v>51</v>
      </c>
    </row>
    <row r="7" spans="1:10">
      <c r="A7">
        <v>6</v>
      </c>
      <c r="B7" t="s">
        <v>94</v>
      </c>
      <c r="C7" t="s">
        <v>182</v>
      </c>
      <c r="D7" t="s">
        <v>183</v>
      </c>
      <c r="E7">
        <v>-0.1</v>
      </c>
      <c r="F7" t="s">
        <v>184</v>
      </c>
      <c r="G7">
        <v>1</v>
      </c>
      <c r="H7">
        <v>1</v>
      </c>
      <c r="I7" t="s">
        <v>51</v>
      </c>
      <c r="J7" t="s">
        <v>51</v>
      </c>
    </row>
    <row r="8" spans="1:10">
      <c r="A8">
        <v>7</v>
      </c>
      <c r="B8" t="s">
        <v>103</v>
      </c>
      <c r="C8" t="s">
        <v>182</v>
      </c>
      <c r="D8" t="s">
        <v>183</v>
      </c>
      <c r="E8">
        <v>-0.1</v>
      </c>
      <c r="F8" t="s">
        <v>184</v>
      </c>
      <c r="G8">
        <v>1</v>
      </c>
      <c r="H8">
        <v>1</v>
      </c>
      <c r="I8" t="s">
        <v>51</v>
      </c>
      <c r="J8" t="s">
        <v>51</v>
      </c>
    </row>
    <row r="9" spans="1:10">
      <c r="A9">
        <v>8</v>
      </c>
      <c r="B9" t="s">
        <v>94</v>
      </c>
      <c r="C9" t="s">
        <v>182</v>
      </c>
      <c r="D9" t="s">
        <v>185</v>
      </c>
      <c r="E9">
        <v>-0.2</v>
      </c>
      <c r="F9" t="s">
        <v>186</v>
      </c>
      <c r="G9">
        <v>2</v>
      </c>
      <c r="H9">
        <v>1</v>
      </c>
      <c r="I9" t="s">
        <v>51</v>
      </c>
      <c r="J9" t="s">
        <v>51</v>
      </c>
    </row>
    <row r="10" spans="1:10">
      <c r="A10">
        <v>9</v>
      </c>
      <c r="B10" t="s">
        <v>103</v>
      </c>
      <c r="C10" t="s">
        <v>182</v>
      </c>
      <c r="D10" t="s">
        <v>185</v>
      </c>
      <c r="E10">
        <v>-0.2</v>
      </c>
      <c r="F10" t="s">
        <v>186</v>
      </c>
      <c r="G10">
        <v>2</v>
      </c>
      <c r="H10">
        <v>1</v>
      </c>
      <c r="I10" t="s">
        <v>51</v>
      </c>
      <c r="J10" t="s">
        <v>51</v>
      </c>
    </row>
    <row r="11" spans="1:10">
      <c r="A11">
        <v>10</v>
      </c>
      <c r="B11" t="s">
        <v>94</v>
      </c>
      <c r="C11" t="s">
        <v>182</v>
      </c>
      <c r="D11" t="s">
        <v>187</v>
      </c>
      <c r="E11">
        <v>-0.3</v>
      </c>
      <c r="F11" t="s">
        <v>188</v>
      </c>
      <c r="G11">
        <v>3</v>
      </c>
      <c r="H11">
        <v>1</v>
      </c>
      <c r="I11" t="s">
        <v>51</v>
      </c>
      <c r="J11" t="s">
        <v>51</v>
      </c>
    </row>
    <row r="12" spans="1:10">
      <c r="A12">
        <v>11</v>
      </c>
      <c r="B12" t="s">
        <v>103</v>
      </c>
      <c r="C12" t="s">
        <v>182</v>
      </c>
      <c r="D12" t="s">
        <v>187</v>
      </c>
      <c r="E12">
        <v>-0.3</v>
      </c>
      <c r="F12" t="s">
        <v>188</v>
      </c>
      <c r="G12">
        <v>3</v>
      </c>
      <c r="H12">
        <v>1</v>
      </c>
      <c r="I12" t="s">
        <v>51</v>
      </c>
      <c r="J12" t="s">
        <v>51</v>
      </c>
    </row>
    <row r="13" spans="1:10">
      <c r="A13">
        <v>12</v>
      </c>
      <c r="B13" t="s">
        <v>62</v>
      </c>
      <c r="C13" t="s">
        <v>182</v>
      </c>
      <c r="D13" t="s">
        <v>189</v>
      </c>
      <c r="E13">
        <v>-0.05</v>
      </c>
      <c r="F13" t="s">
        <v>190</v>
      </c>
      <c r="G13">
        <v>1</v>
      </c>
      <c r="H13">
        <v>1</v>
      </c>
      <c r="I13" t="s">
        <v>51</v>
      </c>
      <c r="J13" t="s">
        <v>51</v>
      </c>
    </row>
    <row r="14" spans="1:10">
      <c r="A14">
        <v>13</v>
      </c>
      <c r="B14" t="s">
        <v>94</v>
      </c>
      <c r="C14" t="s">
        <v>191</v>
      </c>
      <c r="D14" t="s">
        <v>192</v>
      </c>
      <c r="E14">
        <v>-0.02</v>
      </c>
      <c r="F14" t="s">
        <v>193</v>
      </c>
      <c r="G14">
        <v>1</v>
      </c>
      <c r="H14">
        <v>1</v>
      </c>
      <c r="I14" t="s">
        <v>51</v>
      </c>
      <c r="J14" t="s">
        <v>51</v>
      </c>
    </row>
    <row r="15" spans="1:10">
      <c r="A15">
        <v>14</v>
      </c>
      <c r="B15" t="s">
        <v>103</v>
      </c>
      <c r="C15" t="s">
        <v>191</v>
      </c>
      <c r="D15" t="s">
        <v>192</v>
      </c>
      <c r="E15">
        <v>-0.02</v>
      </c>
      <c r="F15" t="s">
        <v>193</v>
      </c>
      <c r="G15">
        <v>1</v>
      </c>
      <c r="H15">
        <v>1</v>
      </c>
      <c r="I15" t="s">
        <v>51</v>
      </c>
      <c r="J15" t="s">
        <v>51</v>
      </c>
    </row>
    <row r="16" spans="1:10">
      <c r="A16">
        <v>15</v>
      </c>
      <c r="B16" t="s">
        <v>94</v>
      </c>
      <c r="C16" t="s">
        <v>191</v>
      </c>
      <c r="D16" t="s">
        <v>194</v>
      </c>
      <c r="E16">
        <v>-0.03</v>
      </c>
      <c r="F16" t="s">
        <v>195</v>
      </c>
      <c r="G16">
        <v>2</v>
      </c>
      <c r="H16">
        <v>1</v>
      </c>
      <c r="I16" t="s">
        <v>51</v>
      </c>
      <c r="J16" t="s">
        <v>51</v>
      </c>
    </row>
    <row r="17" spans="1:10">
      <c r="A17">
        <v>16</v>
      </c>
      <c r="B17" t="s">
        <v>103</v>
      </c>
      <c r="C17" t="s">
        <v>191</v>
      </c>
      <c r="D17" t="s">
        <v>194</v>
      </c>
      <c r="E17">
        <v>-0.03</v>
      </c>
      <c r="F17" t="s">
        <v>195</v>
      </c>
      <c r="G17">
        <v>2</v>
      </c>
      <c r="H17">
        <v>1</v>
      </c>
      <c r="I17" t="s">
        <v>51</v>
      </c>
      <c r="J17" t="s">
        <v>51</v>
      </c>
    </row>
    <row r="18" spans="1:10">
      <c r="A18">
        <v>17</v>
      </c>
      <c r="B18" t="s">
        <v>94</v>
      </c>
      <c r="C18" t="s">
        <v>191</v>
      </c>
      <c r="D18" t="s">
        <v>196</v>
      </c>
      <c r="E18">
        <v>-0.05</v>
      </c>
      <c r="F18" t="s">
        <v>197</v>
      </c>
      <c r="G18">
        <v>3</v>
      </c>
      <c r="H18">
        <v>1</v>
      </c>
      <c r="I18" t="s">
        <v>51</v>
      </c>
      <c r="J18" t="s">
        <v>51</v>
      </c>
    </row>
    <row r="19" spans="1:10">
      <c r="A19">
        <v>18</v>
      </c>
      <c r="B19" t="s">
        <v>103</v>
      </c>
      <c r="C19" t="s">
        <v>191</v>
      </c>
      <c r="D19" t="s">
        <v>196</v>
      </c>
      <c r="E19">
        <v>-0.05</v>
      </c>
      <c r="F19" t="s">
        <v>197</v>
      </c>
      <c r="G19">
        <v>3</v>
      </c>
      <c r="H19">
        <v>1</v>
      </c>
      <c r="I19" t="s">
        <v>51</v>
      </c>
      <c r="J19" t="s">
        <v>51</v>
      </c>
    </row>
    <row r="20" spans="1:10">
      <c r="A20">
        <v>19</v>
      </c>
      <c r="B20" t="s">
        <v>198</v>
      </c>
      <c r="C20" t="s">
        <v>199</v>
      </c>
      <c r="D20" t="s">
        <v>200</v>
      </c>
      <c r="E20">
        <v>0.2</v>
      </c>
      <c r="F20" t="s">
        <v>201</v>
      </c>
      <c r="G20">
        <v>0</v>
      </c>
      <c r="H20">
        <v>1</v>
      </c>
      <c r="I20" t="s">
        <v>51</v>
      </c>
      <c r="J20" t="s">
        <v>51</v>
      </c>
    </row>
    <row r="21" spans="1:10">
      <c r="A21">
        <v>20</v>
      </c>
      <c r="B21" t="s">
        <v>198</v>
      </c>
      <c r="C21" t="s">
        <v>199</v>
      </c>
      <c r="D21" t="s">
        <v>202</v>
      </c>
      <c r="E21">
        <v>0</v>
      </c>
      <c r="F21" t="s">
        <v>203</v>
      </c>
      <c r="G21">
        <v>0</v>
      </c>
      <c r="H21">
        <v>1</v>
      </c>
      <c r="I21" t="s">
        <v>51</v>
      </c>
      <c r="J21" t="s">
        <v>51</v>
      </c>
    </row>
    <row r="22" spans="1:10">
      <c r="A22">
        <v>21</v>
      </c>
      <c r="B22" t="s">
        <v>198</v>
      </c>
      <c r="C22" t="s">
        <v>199</v>
      </c>
      <c r="D22" t="s">
        <v>204</v>
      </c>
      <c r="E22">
        <v>0</v>
      </c>
      <c r="F22" t="s">
        <v>205</v>
      </c>
      <c r="G22">
        <v>0</v>
      </c>
      <c r="H22">
        <v>1</v>
      </c>
      <c r="I22" t="s">
        <v>51</v>
      </c>
      <c r="J22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30" sqref="E30"/>
    </sheetView>
  </sheetViews>
  <sheetFormatPr defaultColWidth="9" defaultRowHeight="14" outlineLevelRow="6"/>
  <cols>
    <col min="1" max="1" width="9.36363636363636" customWidth="1"/>
    <col min="2" max="3" width="10.4545454545455" customWidth="1"/>
    <col min="4" max="4" width="11.8181818181818" customWidth="1"/>
    <col min="5" max="6" width="9" customWidth="1"/>
    <col min="7" max="7" width="18.0909090909091" customWidth="1"/>
    <col min="8" max="9" width="13.1818181818182" customWidth="1"/>
    <col min="10" max="10" width="11.5454545454545" customWidth="1"/>
  </cols>
  <sheetData>
    <row r="1" s="1" customFormat="1" ht="50" customHeight="1" spans="1:10">
      <c r="A1" s="2" t="s">
        <v>206</v>
      </c>
      <c r="B1" s="2" t="s">
        <v>0</v>
      </c>
      <c r="C1" s="2" t="s">
        <v>1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12</v>
      </c>
    </row>
    <row r="2" spans="1:10">
      <c r="A2">
        <v>1</v>
      </c>
      <c r="B2">
        <v>562500</v>
      </c>
      <c r="C2" t="s">
        <v>51</v>
      </c>
      <c r="D2" t="s">
        <v>213</v>
      </c>
      <c r="E2">
        <v>1.032</v>
      </c>
      <c r="F2" t="s">
        <v>51</v>
      </c>
      <c r="G2">
        <v>-1.15</v>
      </c>
      <c r="H2">
        <v>1651.2</v>
      </c>
      <c r="I2">
        <v>-19.2</v>
      </c>
      <c r="J2" t="s">
        <v>51</v>
      </c>
    </row>
    <row r="3" spans="1:10">
      <c r="A3">
        <v>2</v>
      </c>
      <c r="B3">
        <v>159770</v>
      </c>
      <c r="C3" t="s">
        <v>51</v>
      </c>
      <c r="D3" t="s">
        <v>213</v>
      </c>
      <c r="E3">
        <v>1.44</v>
      </c>
      <c r="F3" t="s">
        <v>51</v>
      </c>
      <c r="G3">
        <v>-0.89</v>
      </c>
      <c r="H3">
        <v>2160</v>
      </c>
      <c r="I3">
        <v>-19.5</v>
      </c>
      <c r="J3" t="s">
        <v>51</v>
      </c>
    </row>
    <row r="4" spans="1:10">
      <c r="A4">
        <v>3</v>
      </c>
      <c r="B4">
        <v>588360</v>
      </c>
      <c r="C4" t="s">
        <v>51</v>
      </c>
      <c r="D4" t="s">
        <v>213</v>
      </c>
      <c r="E4">
        <v>0.899</v>
      </c>
      <c r="F4" t="s">
        <v>51</v>
      </c>
      <c r="G4">
        <v>-1.86</v>
      </c>
      <c r="H4">
        <v>1348.5</v>
      </c>
      <c r="I4">
        <v>-25.5</v>
      </c>
      <c r="J4" t="s">
        <v>51</v>
      </c>
    </row>
    <row r="5" spans="1:10">
      <c r="A5">
        <v>4</v>
      </c>
      <c r="B5">
        <v>516860</v>
      </c>
      <c r="C5" t="s">
        <v>51</v>
      </c>
      <c r="D5" t="s">
        <v>213</v>
      </c>
      <c r="E5">
        <v>1.47</v>
      </c>
      <c r="F5" t="s">
        <v>51</v>
      </c>
      <c r="G5">
        <v>1.17</v>
      </c>
      <c r="H5">
        <v>882</v>
      </c>
      <c r="I5">
        <v>10.2</v>
      </c>
      <c r="J5" t="s">
        <v>51</v>
      </c>
    </row>
    <row r="6" spans="1:10">
      <c r="A6">
        <v>5</v>
      </c>
      <c r="B6">
        <v>159241</v>
      </c>
      <c r="C6" t="s">
        <v>51</v>
      </c>
      <c r="D6" t="s">
        <v>213</v>
      </c>
      <c r="E6">
        <v>1.501</v>
      </c>
      <c r="F6" t="s">
        <v>51</v>
      </c>
      <c r="G6">
        <v>1.42</v>
      </c>
      <c r="H6">
        <v>900.6</v>
      </c>
      <c r="I6">
        <v>12.6</v>
      </c>
      <c r="J6" t="s">
        <v>51</v>
      </c>
    </row>
    <row r="7" spans="1:10">
      <c r="A7">
        <v>6</v>
      </c>
      <c r="B7">
        <v>159605</v>
      </c>
      <c r="C7" t="s">
        <v>51</v>
      </c>
      <c r="D7" t="s">
        <v>213</v>
      </c>
      <c r="E7">
        <v>0.714</v>
      </c>
      <c r="F7" t="s">
        <v>51</v>
      </c>
      <c r="G7">
        <v>-2.06</v>
      </c>
      <c r="H7">
        <v>142.8</v>
      </c>
      <c r="I7">
        <v>-3</v>
      </c>
      <c r="J7" t="s">
        <v>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F25" sqref="F25"/>
    </sheetView>
  </sheetViews>
  <sheetFormatPr defaultColWidth="9" defaultRowHeight="14"/>
  <cols>
    <col min="1" max="2" width="10.4545454545455" style="1" customWidth="1"/>
    <col min="3" max="4" width="12.6363636363636" style="1" customWidth="1"/>
    <col min="5" max="5" width="19.1818181818182" style="1" customWidth="1"/>
    <col min="6" max="6" width="14.8181818181818" style="1" customWidth="1"/>
    <col min="7" max="7" width="18.0909090909091" style="1" customWidth="1"/>
    <col min="8" max="8" width="12.6363636363636" style="1" customWidth="1"/>
    <col min="9" max="9" width="14.8181818181818" style="1" customWidth="1"/>
    <col min="10" max="10" width="5" style="1" customWidth="1"/>
    <col min="11" max="12" width="11.5454545454545" style="1" customWidth="1"/>
    <col min="13" max="16384" width="9" style="1"/>
  </cols>
  <sheetData>
    <row r="1" ht="31" customHeight="1" spans="1:12">
      <c r="A1" s="2" t="s">
        <v>214</v>
      </c>
      <c r="B1" s="2" t="s">
        <v>0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12</v>
      </c>
      <c r="L1" s="2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R32" sqref="R32"/>
    </sheetView>
  </sheetViews>
  <sheetFormatPr defaultColWidth="9" defaultRowHeight="14"/>
  <cols>
    <col min="1" max="1" width="7" style="1" customWidth="1"/>
    <col min="2" max="2" width="10.4545454545455" style="1" customWidth="1"/>
    <col min="3" max="3" width="9.36363636363636" style="1" customWidth="1"/>
    <col min="4" max="7" width="9" style="1" customWidth="1"/>
    <col min="8" max="8" width="11.0909090909091" style="1" customWidth="1"/>
    <col min="9" max="9" width="6.90909090909091" style="1" customWidth="1"/>
    <col min="10" max="10" width="10.4545454545455" style="1" customWidth="1"/>
    <col min="11" max="11" width="5" style="1" customWidth="1"/>
    <col min="12" max="12" width="11.5454545454545" style="1" customWidth="1"/>
    <col min="13" max="16384" width="9" style="1"/>
  </cols>
  <sheetData>
    <row r="1" ht="28" spans="1:12">
      <c r="A1" s="2" t="s">
        <v>223</v>
      </c>
      <c r="B1" s="2" t="s">
        <v>0</v>
      </c>
      <c r="C1" s="2" t="s">
        <v>224</v>
      </c>
      <c r="D1" s="2" t="s">
        <v>225</v>
      </c>
      <c r="E1" s="2" t="s">
        <v>226</v>
      </c>
      <c r="F1" s="2" t="s">
        <v>227</v>
      </c>
      <c r="G1" s="2" t="s">
        <v>228</v>
      </c>
      <c r="H1" s="2" t="s">
        <v>229</v>
      </c>
      <c r="I1" s="2" t="s">
        <v>230</v>
      </c>
      <c r="J1" s="2" t="s">
        <v>231</v>
      </c>
      <c r="K1" s="2" t="s">
        <v>222</v>
      </c>
      <c r="L1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fund_info(基金基本信息表)</vt:lpstr>
      <vt:lpstr>fund_holdings(持仓管理表)</vt:lpstr>
      <vt:lpstr>dca_plans(定投计划表)</vt:lpstr>
      <vt:lpstr>trading_rules(交易规则配置表)</vt:lpstr>
      <vt:lpstr>daily_quotes(每日净值表)</vt:lpstr>
      <vt:lpstr>trade_signals(交易信号表)</vt:lpstr>
      <vt:lpstr>transactions(交易记录表)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刘xiangy</cp:lastModifiedBy>
  <dcterms:created xsi:type="dcterms:W3CDTF">2026-03-06T07:48:00Z</dcterms:created>
  <dcterms:modified xsi:type="dcterms:W3CDTF">2026-03-06T09:26:21Z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578E14238D044D33BD57A7C212903F60_12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